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980" yWindow="660" windowWidth="15420" windowHeight="17220" tabRatio="600" firstSheet="0" activeTab="1" autoFilterDateGrouping="1"/>
  </bookViews>
  <sheets>
    <sheet name="Protocol" sheetId="1" state="visible" r:id="rId1"/>
    <sheet name="A_Bench" sheetId="2" state="visible" r:id="rId2"/>
    <sheet name="A_Bench_run1" sheetId="3" state="visible" r:id="rId3"/>
    <sheet name="A_Bench_run2" sheetId="4" state="visible" r:id="rId4"/>
    <sheet name="B_Angle" sheetId="5" state="visible" r:id="rId5"/>
    <sheet name="C_Range" sheetId="6" state="visible" r:id="rId6"/>
    <sheet name="E_Strobe" sheetId="7" state="visible" r:id="rId7"/>
    <sheet name="F_Ambient" sheetId="8" state="visible" r:id="rId8"/>
    <sheet name="G_Diffuser" sheetId="9" state="visible" r:id="rId9"/>
    <sheet name="Summary" sheetId="10" state="visible" r:id="rId10"/>
  </sheets>
  <definedNames/>
  <calcPr calcId="191029" fullCalcOnLoad="1"/>
</workbook>
</file>

<file path=xl/styles.xml><?xml version="1.0" encoding="utf-8"?>
<styleSheet xmlns="http://schemas.openxmlformats.org/spreadsheetml/2006/main">
  <numFmts count="5">
    <numFmt numFmtId="164" formatCode="0.0"/>
    <numFmt numFmtId="165" formatCode="0.0000"/>
    <numFmt numFmtId="166" formatCode="0.0%"/>
    <numFmt numFmtId="167" formatCode="0.000"/>
    <numFmt numFmtId="168" formatCode="+0.00;-0.00;0.00"/>
  </numFmts>
  <fonts count="27">
    <font>
      <name val="Calibri"/>
      <family val="2"/>
      <color theme="1"/>
      <sz val="11"/>
      <scheme val="minor"/>
    </font>
    <font>
      <name val="Arial"/>
      <family val="2"/>
      <b val="1"/>
      <sz val="14"/>
    </font>
    <font>
      <name val="Arial"/>
      <family val="2"/>
      <i val="1"/>
      <color rgb="FF595959"/>
      <sz val="9"/>
    </font>
    <font>
      <name val="Arial"/>
      <family val="2"/>
      <b val="1"/>
      <sz val="10"/>
    </font>
    <font>
      <name val="Arial"/>
      <family val="2"/>
      <color rgb="FF0000FF"/>
      <sz val="10"/>
    </font>
    <font>
      <name val="Arial"/>
      <family val="2"/>
      <sz val="10"/>
    </font>
    <font>
      <name val="Arial"/>
      <family val="2"/>
      <i val="1"/>
      <color rgb="FF595959"/>
      <sz val="9"/>
    </font>
    <font>
      <name val="Arial"/>
      <family val="2"/>
      <b val="1"/>
      <sz val="14"/>
    </font>
    <font>
      <name val="Arial"/>
      <family val="2"/>
      <i val="1"/>
      <color rgb="FF595959"/>
      <sz val="9"/>
    </font>
    <font>
      <name val="Arial"/>
      <family val="2"/>
      <b val="1"/>
      <color rgb="FFFFFFFF"/>
      <sz val="11"/>
    </font>
    <font>
      <name val="Arial"/>
      <family val="2"/>
      <color rgb="FF808080"/>
      <sz val="10"/>
    </font>
    <font>
      <name val="Arial"/>
      <family val="2"/>
      <sz val="10"/>
    </font>
    <font>
      <name val="Arial"/>
      <family val="2"/>
      <color rgb="FF0000FF"/>
      <sz val="10"/>
    </font>
    <font>
      <name val="Arial"/>
      <family val="2"/>
      <color rgb="FFC00000"/>
      <sz val="10"/>
    </font>
    <font>
      <name val="Arial"/>
      <family val="2"/>
      <b val="1"/>
      <sz val="10"/>
    </font>
    <font>
      <name val="Arial"/>
      <family val="2"/>
      <i val="1"/>
      <color rgb="FF808080"/>
      <sz val="10"/>
    </font>
    <font>
      <name val="Arial"/>
      <b val="1"/>
      <sz val="14"/>
    </font>
    <font>
      <name val="Arial"/>
      <i val="1"/>
      <color rgb="FF595959"/>
      <sz val="9"/>
    </font>
    <font>
      <name val="Arial"/>
      <color rgb="FF0000FF"/>
      <sz val="10"/>
    </font>
    <font>
      <name val="Arial"/>
      <color rgb="FFC00000"/>
      <sz val="10"/>
    </font>
    <font>
      <name val="Arial"/>
      <b val="1"/>
      <sz val="10"/>
    </font>
    <font>
      <name val="Arial"/>
      <sz val="10"/>
    </font>
    <font>
      <name val="Arial"/>
      <b val="1"/>
      <color rgb="FFFFFFFF"/>
      <sz val="11"/>
    </font>
    <font>
      <name val="Arial"/>
      <color rgb="FF808080"/>
      <sz val="10"/>
    </font>
    <font>
      <name val="Arial"/>
      <b val="1"/>
      <color rgb="FF006100"/>
      <sz val="10"/>
    </font>
    <font>
      <name val="Arial"/>
      <b val="1"/>
      <color rgb="FFC00000"/>
      <sz val="10"/>
    </font>
    <font>
      <name val="Arial"/>
      <i val="1"/>
      <color rgb="FF808080"/>
      <sz val="10"/>
    </font>
  </fonts>
  <fills count="5">
    <fill>
      <patternFill/>
    </fill>
    <fill>
      <patternFill patternType="gray125"/>
    </fill>
    <fill>
      <patternFill patternType="solid">
        <fgColor rgb="FF1F3864"/>
      </patternFill>
    </fill>
    <fill>
      <patternFill patternType="solid">
        <fgColor rgb="FFF2F2F2"/>
      </patternFill>
    </fill>
    <fill>
      <patternFill patternType="solid">
        <fgColor rgb="FFFFFF99"/>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08080"/>
      </top>
      <bottom style="thin">
        <color rgb="FFBFBFBF"/>
      </bottom>
      <diagonal/>
    </border>
    <border/>
    <border>
      <left style="thin">
        <color rgb="FFBFBFBF"/>
      </left>
      <right style="thin">
        <color rgb="FFBFBFBF"/>
      </right>
      <top style="thin">
        <color rgb="FFBFBFBF"/>
      </top>
      <bottom style="thin">
        <color rgb="FFBFBFBF"/>
      </bottom>
    </border>
    <border/>
    <border/>
    <border>
      <left style="thin">
        <color rgb="FFBFBFBF"/>
      </left>
      <right style="thin">
        <color rgb="FFBFBFBF"/>
      </right>
      <top style="medium">
        <color rgb="FF808080"/>
      </top>
      <bottom style="thin">
        <color rgb="FFBFBFBF"/>
      </bottom>
    </border>
    <border/>
  </borders>
  <cellStyleXfs count="1">
    <xf numFmtId="0" fontId="0" fillId="0" borderId="0"/>
  </cellStyleXfs>
  <cellXfs count="1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6" fillId="0" borderId="0" pivotButton="0" quotePrefix="0" xfId="0"/>
    <xf numFmtId="0" fontId="5" fillId="0" borderId="0" pivotButton="0" quotePrefix="0" xfId="0"/>
    <xf numFmtId="0" fontId="7" fillId="0" borderId="0" pivotButton="0" quotePrefix="0" xfId="0"/>
    <xf numFmtId="0" fontId="8" fillId="0" borderId="0" pivotButton="0" quotePrefix="0" xfId="0"/>
    <xf numFmtId="0" fontId="9" fillId="2" borderId="1" applyAlignment="1" pivotButton="0" quotePrefix="0" xfId="0">
      <alignment horizontal="center" vertical="center" wrapText="1"/>
    </xf>
    <xf numFmtId="0" fontId="10" fillId="0" borderId="1" pivotButton="0" quotePrefix="0" xfId="0"/>
    <xf numFmtId="0" fontId="10" fillId="0" borderId="1" applyAlignment="1" pivotButton="0" quotePrefix="0" xfId="0">
      <alignment horizontal="center"/>
    </xf>
    <xf numFmtId="1" fontId="10" fillId="0" borderId="1" applyAlignment="1" pivotButton="0" quotePrefix="0" xfId="0">
      <alignment horizontal="center"/>
    </xf>
    <xf numFmtId="164" fontId="10" fillId="0" borderId="1" applyAlignment="1" pivotButton="0" quotePrefix="0" xfId="0">
      <alignment horizontal="center"/>
    </xf>
    <xf numFmtId="2" fontId="10" fillId="0" borderId="1" applyAlignment="1" pivotButton="0" quotePrefix="0" xfId="0">
      <alignment horizontal="center"/>
    </xf>
    <xf numFmtId="165" fontId="10" fillId="0" borderId="1" applyAlignment="1" pivotButton="0" quotePrefix="0" xfId="0">
      <alignment horizontal="center"/>
    </xf>
    <xf numFmtId="0" fontId="11" fillId="0" borderId="2" pivotButton="0" quotePrefix="0" xfId="0"/>
    <xf numFmtId="0" fontId="11" fillId="0" borderId="2" applyAlignment="1" pivotButton="0" quotePrefix="0" xfId="0">
      <alignment horizontal="center"/>
    </xf>
    <xf numFmtId="1" fontId="11" fillId="0" borderId="2" applyAlignment="1" pivotButton="0" quotePrefix="0" xfId="0">
      <alignment horizontal="center"/>
    </xf>
    <xf numFmtId="164" fontId="11" fillId="0" borderId="2" applyAlignment="1" pivotButton="0" quotePrefix="0" xfId="0">
      <alignment horizontal="center"/>
    </xf>
    <xf numFmtId="1" fontId="12" fillId="4" borderId="2" applyAlignment="1" pivotButton="0" quotePrefix="0" xfId="0">
      <alignment horizontal="center"/>
    </xf>
    <xf numFmtId="164" fontId="12" fillId="4" borderId="2" applyAlignment="1" pivotButton="0" quotePrefix="0" xfId="0">
      <alignment horizontal="center"/>
    </xf>
    <xf numFmtId="2" fontId="12" fillId="4" borderId="2" applyAlignment="1" pivotButton="0" quotePrefix="0" xfId="0">
      <alignment horizontal="center"/>
    </xf>
    <xf numFmtId="165" fontId="12" fillId="4" borderId="2" applyAlignment="1" pivotButton="0" quotePrefix="0" xfId="0">
      <alignment horizontal="center"/>
    </xf>
    <xf numFmtId="165" fontId="11" fillId="0" borderId="2" applyAlignment="1" pivotButton="0" quotePrefix="0" xfId="0">
      <alignment horizontal="center"/>
    </xf>
    <xf numFmtId="0" fontId="12" fillId="0" borderId="2" pivotButton="0" quotePrefix="0" xfId="0"/>
    <xf numFmtId="0" fontId="11" fillId="0" borderId="1" pivotButton="0" quotePrefix="0" xfId="0"/>
    <xf numFmtId="0" fontId="11" fillId="0" borderId="1" applyAlignment="1" pivotButton="0" quotePrefix="0" xfId="0">
      <alignment horizontal="center"/>
    </xf>
    <xf numFmtId="1" fontId="11" fillId="0" borderId="1" applyAlignment="1" pivotButton="0" quotePrefix="0" xfId="0">
      <alignment horizontal="center"/>
    </xf>
    <xf numFmtId="164" fontId="11" fillId="0" borderId="1" applyAlignment="1" pivotButton="0" quotePrefix="0" xfId="0">
      <alignment horizontal="center"/>
    </xf>
    <xf numFmtId="1" fontId="12" fillId="4" borderId="1" applyAlignment="1" pivotButton="0" quotePrefix="0" xfId="0">
      <alignment horizontal="center"/>
    </xf>
    <xf numFmtId="164" fontId="12" fillId="4" borderId="1" applyAlignment="1" pivotButton="0" quotePrefix="0" xfId="0">
      <alignment horizontal="center"/>
    </xf>
    <xf numFmtId="2" fontId="12" fillId="4" borderId="1" applyAlignment="1" pivotButton="0" quotePrefix="0" xfId="0">
      <alignment horizontal="center"/>
    </xf>
    <xf numFmtId="165" fontId="12" fillId="4" borderId="1" applyAlignment="1" pivotButton="0" quotePrefix="0" xfId="0">
      <alignment horizontal="center"/>
    </xf>
    <xf numFmtId="165" fontId="11" fillId="0" borderId="1" applyAlignment="1" pivotButton="0" quotePrefix="0" xfId="0">
      <alignment horizontal="center"/>
    </xf>
    <xf numFmtId="0" fontId="12" fillId="0" borderId="1" pivotButton="0" quotePrefix="0" xfId="0"/>
    <xf numFmtId="0" fontId="13" fillId="0" borderId="1" pivotButton="0" quotePrefix="0" xfId="0"/>
    <xf numFmtId="166" fontId="11" fillId="0" borderId="2" applyAlignment="1" pivotButton="0" quotePrefix="0" xfId="0">
      <alignment horizontal="center"/>
    </xf>
    <xf numFmtId="166" fontId="11" fillId="0" borderId="1" applyAlignment="1" pivotButton="0" quotePrefix="0" xfId="0">
      <alignment horizontal="center"/>
    </xf>
    <xf numFmtId="0" fontId="9" fillId="2" borderId="0" pivotButton="0" quotePrefix="0" xfId="0"/>
    <xf numFmtId="167" fontId="12" fillId="4" borderId="2" applyAlignment="1" pivotButton="0" quotePrefix="0" xfId="0">
      <alignment horizontal="center"/>
    </xf>
    <xf numFmtId="167" fontId="11" fillId="0" borderId="2" applyAlignment="1" pivotButton="0" quotePrefix="0" xfId="0">
      <alignment horizontal="center"/>
    </xf>
    <xf numFmtId="167" fontId="12" fillId="4" borderId="1" applyAlignment="1" pivotButton="0" quotePrefix="0" xfId="0">
      <alignment horizontal="center"/>
    </xf>
    <xf numFmtId="167" fontId="11" fillId="0" borderId="1" applyAlignment="1" pivotButton="0" quotePrefix="0" xfId="0">
      <alignment horizontal="center"/>
    </xf>
    <xf numFmtId="0" fontId="12" fillId="4" borderId="2" applyAlignment="1" pivotButton="0" quotePrefix="0" xfId="0">
      <alignment horizontal="center"/>
    </xf>
    <xf numFmtId="0" fontId="12" fillId="4" borderId="1" applyAlignment="1" pivotButton="0" quotePrefix="0" xfId="0">
      <alignment horizontal="center"/>
    </xf>
    <xf numFmtId="0" fontId="10" fillId="0" borderId="2" applyAlignment="1" pivotButton="0" quotePrefix="0" xfId="0">
      <alignment horizontal="center"/>
    </xf>
    <xf numFmtId="0" fontId="11" fillId="0" borderId="0" pivotButton="0" quotePrefix="0" xfId="0"/>
    <xf numFmtId="0" fontId="14" fillId="3" borderId="1" pivotButton="0" quotePrefix="0" xfId="0"/>
    <xf numFmtId="15" fontId="12" fillId="4" borderId="1" pivotButton="0" quotePrefix="0" xfId="0"/>
    <xf numFmtId="0" fontId="12" fillId="4" borderId="1" pivotButton="0" quotePrefix="0" xfId="0"/>
    <xf numFmtId="0" fontId="14" fillId="0" borderId="0" pivotButton="0" quotePrefix="0" xfId="0"/>
    <xf numFmtId="0" fontId="15" fillId="0" borderId="1" pivotButton="0" quotePrefix="0" xfId="0"/>
    <xf numFmtId="0" fontId="4" fillId="4" borderId="1" pivotButton="0" quotePrefix="0" xfId="0"/>
    <xf numFmtId="164" fontId="11" fillId="0" borderId="1" applyAlignment="1" pivotButton="0" quotePrefix="0" xfId="0">
      <alignment horizontal="center"/>
    </xf>
    <xf numFmtId="164" fontId="10" fillId="0" borderId="1" applyAlignment="1" pivotButton="0" quotePrefix="0" xfId="0">
      <alignment horizontal="center"/>
    </xf>
    <xf numFmtId="165" fontId="10" fillId="0" borderId="1" applyAlignment="1" pivotButton="0" quotePrefix="0" xfId="0">
      <alignment horizontal="center"/>
    </xf>
    <xf numFmtId="164" fontId="18" fillId="4" borderId="2" applyAlignment="1" pivotButton="0" quotePrefix="0" xfId="0">
      <alignment horizontal="center"/>
    </xf>
    <xf numFmtId="164" fontId="11" fillId="0" borderId="2" applyAlignment="1" pivotButton="0" quotePrefix="0" xfId="0">
      <alignment horizontal="center"/>
    </xf>
    <xf numFmtId="164" fontId="12" fillId="4" borderId="2" applyAlignment="1" pivotButton="0" quotePrefix="0" xfId="0">
      <alignment horizontal="center"/>
    </xf>
    <xf numFmtId="165" fontId="12" fillId="4" borderId="2" applyAlignment="1" pivotButton="0" quotePrefix="0" xfId="0">
      <alignment horizontal="center"/>
    </xf>
    <xf numFmtId="165" fontId="11" fillId="0" borderId="2" applyAlignment="1" pivotButton="0" quotePrefix="0" xfId="0">
      <alignment horizontal="center"/>
    </xf>
    <xf numFmtId="164" fontId="18" fillId="4" borderId="1" applyAlignment="1" pivotButton="0" quotePrefix="0" xfId="0">
      <alignment horizontal="center"/>
    </xf>
    <xf numFmtId="164" fontId="12" fillId="4" borderId="1" applyAlignment="1" pivotButton="0" quotePrefix="0" xfId="0">
      <alignment horizontal="center"/>
    </xf>
    <xf numFmtId="165" fontId="12" fillId="4" borderId="1" applyAlignment="1" pivotButton="0" quotePrefix="0" xfId="0">
      <alignment horizontal="center"/>
    </xf>
    <xf numFmtId="165" fontId="11" fillId="0" borderId="1" applyAlignment="1" pivotButton="0" quotePrefix="0" xfId="0">
      <alignment horizontal="center"/>
    </xf>
    <xf numFmtId="0" fontId="16" fillId="0" borderId="0" pivotButton="0" quotePrefix="0" xfId="0"/>
    <xf numFmtId="0" fontId="17" fillId="0" borderId="0" pivotButton="0" quotePrefix="0" xfId="0"/>
    <xf numFmtId="166" fontId="11" fillId="0" borderId="2" applyAlignment="1" pivotButton="0" quotePrefix="0" xfId="0">
      <alignment horizontal="center"/>
    </xf>
    <xf numFmtId="166" fontId="11" fillId="0" borderId="1" applyAlignment="1" pivotButton="0" quotePrefix="0" xfId="0">
      <alignment horizontal="center"/>
    </xf>
    <xf numFmtId="0" fontId="19" fillId="0" borderId="2" pivotButton="0" quotePrefix="0" xfId="0"/>
    <xf numFmtId="0" fontId="19" fillId="0" borderId="1" pivotButton="0" quotePrefix="0" xfId="0"/>
    <xf numFmtId="0" fontId="20" fillId="0" borderId="3" pivotButton="0" quotePrefix="0" xfId="0"/>
    <xf numFmtId="164" fontId="18" fillId="4" borderId="4" applyAlignment="1" pivotButton="0" quotePrefix="0" xfId="0">
      <alignment horizontal="center"/>
    </xf>
    <xf numFmtId="0" fontId="17" fillId="0" borderId="3" pivotButton="0" quotePrefix="0" xfId="0"/>
    <xf numFmtId="1" fontId="18" fillId="4" borderId="4" applyAlignment="1" pivotButton="0" quotePrefix="0" xfId="0">
      <alignment horizontal="center"/>
    </xf>
    <xf numFmtId="2" fontId="21" fillId="0" borderId="4" applyAlignment="1" pivotButton="0" quotePrefix="0" xfId="0">
      <alignment horizontal="center"/>
    </xf>
    <xf numFmtId="0" fontId="22" fillId="2" borderId="0" pivotButton="0" quotePrefix="0" xfId="0"/>
    <xf numFmtId="0" fontId="22" fillId="2" borderId="4" applyAlignment="1" pivotButton="0" quotePrefix="0" xfId="0">
      <alignment horizontal="center" vertical="center" wrapText="1"/>
    </xf>
    <xf numFmtId="0" fontId="18" fillId="4" borderId="4" applyAlignment="1" pivotButton="0" quotePrefix="0" xfId="0">
      <alignment horizontal="center"/>
    </xf>
    <xf numFmtId="2" fontId="18" fillId="4" borderId="4" applyAlignment="1" pivotButton="0" quotePrefix="0" xfId="0">
      <alignment horizontal="center"/>
    </xf>
    <xf numFmtId="0" fontId="21" fillId="0" borderId="4" applyAlignment="1" pivotButton="0" quotePrefix="0" xfId="0">
      <alignment horizontal="center"/>
    </xf>
    <xf numFmtId="0" fontId="18" fillId="0" borderId="4" pivotButton="0" quotePrefix="0" xfId="0"/>
    <xf numFmtId="0" fontId="21" fillId="0" borderId="4" pivotButton="0" quotePrefix="0" xfId="0"/>
    <xf numFmtId="165" fontId="18" fillId="4" borderId="4" applyAlignment="1" pivotButton="0" quotePrefix="0" xfId="0">
      <alignment horizontal="center"/>
    </xf>
    <xf numFmtId="165" fontId="21" fillId="0" borderId="4" applyAlignment="1" pivotButton="0" quotePrefix="0" xfId="0">
      <alignment horizontal="center"/>
    </xf>
    <xf numFmtId="1" fontId="21" fillId="0" borderId="4" applyAlignment="1" pivotButton="0" quotePrefix="0" xfId="0">
      <alignment horizontal="center"/>
    </xf>
    <xf numFmtId="164" fontId="21" fillId="0" borderId="4" applyAlignment="1" pivotButton="0" quotePrefix="0" xfId="0">
      <alignment horizontal="center"/>
    </xf>
    <xf numFmtId="0" fontId="20" fillId="0" borderId="3" applyAlignment="1" pivotButton="0" quotePrefix="0" xfId="0">
      <alignment horizontal="center"/>
    </xf>
    <xf numFmtId="164" fontId="20" fillId="0" borderId="3" applyAlignment="1" pivotButton="0" quotePrefix="0" xfId="0">
      <alignment horizontal="center"/>
    </xf>
    <xf numFmtId="167" fontId="20" fillId="0" borderId="3" applyAlignment="1" pivotButton="0" quotePrefix="0" xfId="0">
      <alignment horizontal="center"/>
    </xf>
    <xf numFmtId="1" fontId="20" fillId="0" borderId="4" applyAlignment="1" pivotButton="0" quotePrefix="0" xfId="0">
      <alignment horizontal="center"/>
    </xf>
    <xf numFmtId="0" fontId="21" fillId="0" borderId="0" pivotButton="0" quotePrefix="0" xfId="0"/>
    <xf numFmtId="0" fontId="20" fillId="0" borderId="0" pivotButton="0" quotePrefix="0" xfId="0"/>
    <xf numFmtId="0" fontId="17" fillId="0" borderId="5" pivotButton="0" quotePrefix="0" xfId="0"/>
    <xf numFmtId="0" fontId="20" fillId="0" borderId="5" pivotButton="0" quotePrefix="0" xfId="0"/>
    <xf numFmtId="2" fontId="20" fillId="0" borderId="5" applyAlignment="1" pivotButton="0" quotePrefix="0" xfId="0">
      <alignment horizontal="center"/>
    </xf>
    <xf numFmtId="0" fontId="20" fillId="0" borderId="6" pivotButton="0" quotePrefix="0" xfId="0"/>
    <xf numFmtId="0" fontId="17" fillId="0" borderId="6" pivotButton="0" quotePrefix="0" xfId="0"/>
    <xf numFmtId="0" fontId="23" fillId="0" borderId="7" applyAlignment="1" pivotButton="0" quotePrefix="0" xfId="0">
      <alignment horizontal="center"/>
    </xf>
    <xf numFmtId="0" fontId="21" fillId="0" borderId="7" pivotButton="0" quotePrefix="0" xfId="0"/>
    <xf numFmtId="1" fontId="21" fillId="0" borderId="7" applyAlignment="1" pivotButton="0" quotePrefix="0" xfId="0">
      <alignment horizontal="center"/>
    </xf>
    <xf numFmtId="164" fontId="21" fillId="0" borderId="7" applyAlignment="1" pivotButton="0" quotePrefix="0" xfId="0">
      <alignment horizontal="center"/>
    </xf>
    <xf numFmtId="1" fontId="23" fillId="3" borderId="7" applyAlignment="1" pivotButton="0" quotePrefix="0" xfId="0">
      <alignment horizontal="center"/>
    </xf>
    <xf numFmtId="164" fontId="23" fillId="3" borderId="7" applyAlignment="1" pivotButton="0" quotePrefix="0" xfId="0">
      <alignment horizontal="center"/>
    </xf>
    <xf numFmtId="2" fontId="23" fillId="3" borderId="7" applyAlignment="1" pivotButton="0" quotePrefix="0" xfId="0">
      <alignment horizontal="center"/>
    </xf>
    <xf numFmtId="0" fontId="21" fillId="0" borderId="7" applyAlignment="1" pivotButton="0" quotePrefix="0" xfId="0">
      <alignment horizontal="center"/>
    </xf>
    <xf numFmtId="165" fontId="23" fillId="3" borderId="7" applyAlignment="1" pivotButton="0" quotePrefix="0" xfId="0">
      <alignment horizontal="center"/>
    </xf>
    <xf numFmtId="165" fontId="21" fillId="0" borderId="7" applyAlignment="1" pivotButton="0" quotePrefix="0" xfId="0">
      <alignment horizontal="center"/>
    </xf>
    <xf numFmtId="2" fontId="21" fillId="0" borderId="7" applyAlignment="1" pivotButton="0" quotePrefix="0" xfId="0">
      <alignment horizontal="center"/>
    </xf>
    <xf numFmtId="168" fontId="21" fillId="0" borderId="7" applyAlignment="1" pivotButton="0" quotePrefix="0" xfId="0">
      <alignment horizontal="center"/>
    </xf>
    <xf numFmtId="0" fontId="18" fillId="0" borderId="7" pivotButton="0" quotePrefix="0" xfId="0"/>
    <xf numFmtId="168" fontId="21" fillId="0" borderId="4" applyAlignment="1" pivotButton="0" quotePrefix="0" xfId="0">
      <alignment horizontal="center"/>
    </xf>
    <xf numFmtId="0" fontId="23" fillId="0" borderId="4" applyAlignment="1" pivotButton="0" quotePrefix="0" xfId="0">
      <alignment horizontal="center"/>
    </xf>
    <xf numFmtId="1" fontId="23" fillId="3" borderId="4" applyAlignment="1" pivotButton="0" quotePrefix="0" xfId="0">
      <alignment horizontal="center"/>
    </xf>
    <xf numFmtId="164" fontId="23" fillId="3" borderId="4" applyAlignment="1" pivotButton="0" quotePrefix="0" xfId="0">
      <alignment horizontal="center"/>
    </xf>
    <xf numFmtId="2" fontId="23" fillId="3" borderId="4" applyAlignment="1" pivotButton="0" quotePrefix="0" xfId="0">
      <alignment horizontal="center"/>
    </xf>
    <xf numFmtId="165" fontId="23" fillId="3" borderId="4" applyAlignment="1" pivotButton="0" quotePrefix="0" xfId="0">
      <alignment horizontal="center"/>
    </xf>
    <xf numFmtId="0" fontId="18" fillId="0" borderId="2" pivotButton="0" quotePrefix="0" xfId="0"/>
    <xf numFmtId="0" fontId="18" fillId="0" borderId="1" pivotButton="0" quotePrefix="0" xfId="0"/>
    <xf numFmtId="0" fontId="24" fillId="0" borderId="0" pivotButton="0" quotePrefix="0" xfId="0"/>
    <xf numFmtId="0" fontId="20" fillId="0" borderId="8" pivotButton="0" quotePrefix="0" xfId="0"/>
    <xf numFmtId="0" fontId="17" fillId="0" borderId="8" pivotButton="0" quotePrefix="0" xfId="0"/>
    <xf numFmtId="0" fontId="25" fillId="0" borderId="0" pivotButton="0" quotePrefix="0" xfId="0"/>
    <xf numFmtId="0" fontId="26" fillId="0" borderId="4"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F3864"/>
    <outlinePr summaryBelow="1" summaryRight="1"/>
    <pageSetUpPr/>
  </sheetPr>
  <dimension ref="A1:M97"/>
  <sheetViews>
    <sheetView showGridLines="0" topLeftCell="A2" workbookViewId="0">
      <selection activeCell="C15" sqref="C15"/>
    </sheetView>
  </sheetViews>
  <sheetFormatPr baseColWidth="10" defaultColWidth="8.83203125" defaultRowHeight="15"/>
  <cols>
    <col width="34" customWidth="1" min="1" max="1"/>
    <col width="36" bestFit="1" customWidth="1" min="2" max="2"/>
    <col width="58" customWidth="1" min="3" max="3"/>
    <col width="11" customWidth="1" min="4" max="8"/>
  </cols>
  <sheetData>
    <row r="1" ht="18" customHeight="1">
      <c r="A1" s="1" t="inlineStr">
        <is>
          <t>LED Characterisation - Test Protocol</t>
        </is>
      </c>
    </row>
    <row r="2">
      <c r="A2" s="4" t="inlineStr">
        <is>
          <t>Four LED types x three builds: bare LED (reference), 20 mm diffuser, 25 mm diffuser. Each diffused marker holds FOUR LEDs of the same type. Find the build with the lowest centroid noise.</t>
        </is>
      </c>
    </row>
    <row r="4">
      <c r="A4" s="3" t="inlineStr">
        <is>
          <t>LEGEND</t>
        </is>
      </c>
    </row>
    <row r="5">
      <c r="A5" s="5" t="inlineStr">
        <is>
          <t>Yellow fill = fill in while testing.   Black = calculated.   Bare rows are a reference only - they are not a marker and are not ranked.</t>
        </is>
      </c>
    </row>
    <row r="7">
      <c r="A7" s="38" t="inlineStr">
        <is>
          <t>HOLD THESE CONSTANT FOR EVERY MEASUREMENT</t>
        </is>
      </c>
    </row>
    <row r="8">
      <c r="A8" s="47" t="inlineStr">
        <is>
          <t>Parameter</t>
        </is>
      </c>
      <c r="B8" s="47" t="inlineStr">
        <is>
          <t>Value</t>
        </is>
      </c>
      <c r="C8" s="47" t="inlineStr">
        <is>
          <t>Note</t>
        </is>
      </c>
    </row>
    <row r="9">
      <c r="A9" s="25" t="inlineStr">
        <is>
          <t>Date</t>
        </is>
      </c>
      <c r="B9" s="48" t="n">
        <v>46262</v>
      </c>
      <c r="C9" s="7" t="n"/>
    </row>
    <row r="10">
      <c r="A10" s="25" t="inlineStr">
        <is>
          <t>Supply voltage (V)</t>
        </is>
      </c>
      <c r="B10" s="49" t="n">
        <v>9</v>
      </c>
      <c r="C10" s="7" t="inlineStr">
        <is>
          <t>one 9 V rail for every board: 4 LEDs in series + the series resistor</t>
        </is>
      </c>
    </row>
    <row r="11">
      <c r="A11" s="25" t="inlineStr">
        <is>
          <t>Drive current (mA)</t>
        </is>
      </c>
      <c r="B11" s="25" t="inlineStr">
        <is>
          <t>set by the board resistor</t>
        </is>
      </c>
      <c r="C11" s="7" t="inlineStr">
        <is>
          <t>differs per part BY DESIGN - see the parts table below. Not a bench knob</t>
        </is>
      </c>
    </row>
    <row r="12">
      <c r="A12" s="25" t="inlineStr">
        <is>
          <t>EXPOSURE_US</t>
        </is>
      </c>
      <c r="B12" s="25" t="inlineStr">
        <is>
          <t>varies per row</t>
        </is>
      </c>
      <c r="C12" s="7" t="inlineStr">
        <is>
          <t>a RESULT, not a constant. Quantised to ~21.3 us (one sensor row time), floor ~21 us</t>
        </is>
      </c>
    </row>
    <row r="13">
      <c r="A13" s="25" t="inlineStr">
        <is>
          <t>Target peak</t>
        </is>
      </c>
      <c r="B13" s="25" t="inlineStr">
        <is>
          <t>200 - 230</t>
        </is>
      </c>
      <c r="C13" s="7" t="inlineStr">
        <is>
          <t>THE controlled variable. Background measured at max 4 counts, so the whole 0-255 range is signal</t>
        </is>
      </c>
    </row>
    <row r="14">
      <c r="A14" s="25" t="inlineStr">
        <is>
          <t>GAIN_DB</t>
        </is>
      </c>
      <c r="B14" s="49" t="n">
        <v>0</v>
      </c>
      <c r="C14" s="7" t="inlineStr">
        <is>
          <t>keep at 0</t>
        </is>
      </c>
    </row>
    <row r="15">
      <c r="A15" s="25" t="inlineStr">
        <is>
          <t>THRESH_LO</t>
        </is>
      </c>
      <c r="B15" s="49" t="n">
        <v>80</v>
      </c>
      <c r="C15" s="7" t="inlineStr">
        <is>
          <t>same for all tests</t>
        </is>
      </c>
    </row>
    <row r="16">
      <c r="A16" s="25" t="inlineStr">
        <is>
          <t>REFINE_FLOOR</t>
        </is>
      </c>
      <c r="B16" s="49" t="n">
        <v>50</v>
      </c>
      <c r="C16" s="7" t="inlineStr">
        <is>
          <t>same for all tests</t>
        </is>
      </c>
    </row>
    <row r="17">
      <c r="A17" s="25" t="inlineStr">
        <is>
          <t>Framesize / readout</t>
        </is>
      </c>
      <c r="B17" s="49" t="inlineStr">
        <is>
          <t>QVGA, 320×240, readout 320×240 -&gt; Ratio 1:1</t>
        </is>
      </c>
      <c r="C17" s="7" t="inlineStr">
        <is>
          <t>ratio must be 1:1</t>
        </is>
      </c>
    </row>
    <row r="18">
      <c r="A18" s="25" t="inlineStr">
        <is>
          <t>Test A distance (m)</t>
        </is>
      </c>
      <c r="B18" s="49" t="n">
        <v>4</v>
      </c>
      <c r="C18" s="7" t="inlineStr">
        <is>
          <t>far end of the flight space - where the builds differ most. Test B uses the same distance</t>
        </is>
      </c>
    </row>
    <row r="19">
      <c r="A19" s="25" t="inlineStr">
        <is>
          <t>Near limit, 0 deg (m)</t>
        </is>
      </c>
      <c r="B19" s="49" t="n">
        <v>2</v>
      </c>
      <c r="C19" s="7" t="inlineStr">
        <is>
          <t>closest a marker ever gets to a camera, square-on. Sets the exposure CEILING</t>
        </is>
      </c>
    </row>
    <row r="20">
      <c r="A20" s="25" t="inlineStr">
        <is>
          <t>Ambient light</t>
        </is>
      </c>
      <c r="B20" s="52" t="inlineStr">
        <is>
          <t>Night test, lights in room on.</t>
        </is>
      </c>
      <c r="C20" s="7" t="inlineStr">
        <is>
          <t>e.g. blinds closed, lights off</t>
        </is>
      </c>
    </row>
    <row r="21">
      <c r="A21" s="25" t="inlineStr">
        <is>
          <t>Camera / lens</t>
        </is>
      </c>
      <c r="B21" s="49" t="inlineStr">
        <is>
          <t>VL filter installend OpenMV RT1062</t>
        </is>
      </c>
      <c r="C21" s="7" t="inlineStr">
        <is>
          <t>must not change between tests</t>
        </is>
      </c>
    </row>
    <row r="22">
      <c r="A22" s="25" t="inlineStr">
        <is>
          <t>Build</t>
        </is>
      </c>
      <c r="B22" s="25" t="inlineStr">
        <is>
          <t>bare (ref) / 20 mm / 25 mm</t>
        </is>
      </c>
      <c r="C22" s="7" t="inlineStr">
        <is>
          <t>no diffuser fitted - all four LEDs lit, cap off</t>
        </is>
      </c>
    </row>
    <row r="24">
      <c r="A24" s="38" t="inlineStr">
        <is>
          <t>BOARDS AND DRIVE CURRENT   (from IR_LED_Parts_Calculator, 9 V, 4 in series, Vf 1.6 V each)</t>
        </is>
      </c>
    </row>
    <row r="25">
      <c r="A25" s="47" t="inlineStr">
        <is>
          <t>Build</t>
        </is>
      </c>
      <c r="B25" s="47" t="inlineStr">
        <is>
          <t>Part</t>
        </is>
      </c>
      <c r="C25" s="47" t="inlineStr">
        <is>
          <t>R series (E12)</t>
        </is>
      </c>
      <c r="D25" s="47" t="inlineStr">
        <is>
          <t>I actual (mA)</t>
        </is>
      </c>
    </row>
    <row r="26">
      <c r="A26" s="25" t="inlineStr">
        <is>
          <t>Vishay</t>
        </is>
      </c>
      <c r="B26" s="25" t="inlineStr">
        <is>
          <t>VSMY2850GX01</t>
        </is>
      </c>
      <c r="C26" s="27" t="n">
        <v>33</v>
      </c>
      <c r="D26" s="53" t="n">
        <v>78.8</v>
      </c>
    </row>
    <row r="27">
      <c r="A27" s="25" t="inlineStr">
        <is>
          <t>Everlight</t>
        </is>
      </c>
      <c r="B27" s="25" t="inlineStr">
        <is>
          <t>HIR25-21C</t>
        </is>
      </c>
      <c r="C27" s="27" t="n">
        <v>68</v>
      </c>
      <c r="D27" s="53" t="n">
        <v>38.2</v>
      </c>
    </row>
    <row r="28">
      <c r="A28" s="25" t="inlineStr">
        <is>
          <t>XL</t>
        </is>
      </c>
      <c r="B28" s="25" t="inlineStr">
        <is>
          <t>XL-1608HIRC-850</t>
        </is>
      </c>
      <c r="C28" s="27" t="n">
        <v>120</v>
      </c>
      <c r="D28" s="53" t="n">
        <v>21.7</v>
      </c>
    </row>
    <row r="29">
      <c r="A29" s="25" t="inlineStr">
        <is>
          <t>Kingbright</t>
        </is>
      </c>
      <c r="B29" s="25" t="inlineStr">
        <is>
          <t>Kingbright (different part, same 68 ohm / 38.2 mA operating point)</t>
        </is>
      </c>
      <c r="C29" s="27" t="n">
        <v>68</v>
      </c>
      <c r="D29" s="53" t="n">
        <v>38.2</v>
      </c>
    </row>
    <row r="30">
      <c r="A30" s="7" t="inlineStr">
        <is>
          <t>Vishay draws 2.1x Everlight and 3.6x XL. That is the design, not an error - but it is why Vishay clips first, so its brightness must be read as 'needs less exposure', not as 'saturates'.</t>
        </is>
      </c>
    </row>
    <row r="32">
      <c r="A32" s="38" t="inlineStr">
        <is>
          <t>THE REGIME</t>
        </is>
      </c>
    </row>
    <row r="34">
      <c r="A34" s="50" t="inlineStr">
        <is>
          <t>TEST A - Bench comparison   (4 types x 3 builds = 12 rows)</t>
        </is>
      </c>
    </row>
    <row r="35">
      <c r="A35" s="46" t="inlineStr">
        <is>
          <t>1. Work one build at a time - the diffuser is the slow thing to change. All four types with the 20 mm, then all four with the 25 mm, then the bare reference LEDs.</t>
        </is>
      </c>
    </row>
    <row r="36">
      <c r="A36" s="46" t="inlineStr">
        <is>
          <t>2. Fix the marker at the Test A distance, facing the camera (0 deg).</t>
        </is>
      </c>
    </row>
    <row r="37">
      <c r="A37" s="46" t="inlineStr">
        <is>
          <t>3. MODE="expose" -&gt; record Exposure, Peak, Sat px, Frames sat, blobs and w/h.</t>
        </is>
      </c>
    </row>
    <row r="38">
      <c r="A38" s="46" t="inlineStr">
        <is>
          <t>4. TARGET THE PEAK: if Peak is outside 200-230, take the 'Next exposure' the sheet computes, set it, and read again. Peak is linear in exposure while unclipped, so this converges in one or two goes.</t>
        </is>
      </c>
    </row>
    <row r="39">
      <c r="A39" s="46" t="inlineStr">
        <is>
          <t>5. If the row still clips at the exposure floor (~21 us), exposure has run out. Either move to the real operating range or add series resistance in-line - you can only ADD R, which lowers current, which is the direction a too-bright board needs.</t>
        </is>
      </c>
    </row>
    <row r="40">
      <c r="A40" s="46" t="inlineStr">
        <is>
          <t>6. BLEND GATE: blobs must read 1 and w/h must sit near 1.00. More than one blob means the four LEDs have not merged - every mode measures only the largest blob, so sigma would look fine while the marker is really four markers.</t>
        </is>
      </c>
    </row>
    <row r="41">
      <c r="A41" s="46" t="inlineStr">
        <is>
          <t>7. MODE="floor" -&gt; record sigma_u, sigma_v, npix. Do NOT change REFINE_FLOOR between LEDs or between builds.</t>
        </is>
      </c>
    </row>
    <row r="42">
      <c r="A42" s="46" t="inlineStr">
        <is>
          <t>8. Only a row that is IN BAND, UNSATURATED and BLENDED carries a usable sigma. Everything else is a diagnostic, not a result.</t>
        </is>
      </c>
    </row>
    <row r="44">
      <c r="A44" s="50" t="inlineStr">
        <is>
          <t>TEST B - Angular response and roll   (each type x each build, at the Test A distance)</t>
        </is>
      </c>
    </row>
    <row r="45">
      <c r="A45" s="46" t="inlineStr">
        <is>
          <t>9.  Sample 1 of each type/build. Rotate the marker off-axis to 0, 15, 30, 45, 60 deg. At each: MODE="expose" -&gt; Exposure, Peak, Sensor area, blobs. Re-target the peak at every angle.</t>
        </is>
      </c>
    </row>
    <row r="46">
      <c r="A46" s="46" t="inlineStr">
        <is>
          <t>10. ROLL (markers only): rotate the same marker about its OWN axis to 0, 22.5, 45, 67.5, 90 deg - 0 deg looking straight at one LED, 45 deg looking between two. At each: MODE="measure" -&gt; mean u, mean v, blobs_max.</t>
        </is>
      </c>
    </row>
    <row r="47">
      <c r="A47" s="46" t="inlineStr">
        <is>
          <t>11. Rotate in place. Any translation of the marker reads as false bias, so clamp the axis and turn it, do not lift and replace it.</t>
        </is>
      </c>
    </row>
    <row r="48">
      <c r="A48" s="46" t="inlineStr">
        <is>
          <t>12. The roll block is the 20 vs 25 mm decider: a marker that blends properly does not move its centroid as it rolls.</t>
        </is>
      </c>
    </row>
    <row r="50">
      <c r="A50" s="50" t="inlineStr">
        <is>
          <t>TEST C - Range   (each type x each build, 1 to 5 m)</t>
        </is>
      </c>
    </row>
    <row r="51">
      <c r="A51" s="46" t="inlineStr">
        <is>
          <t>13. Same sample. Move to each distance listed on C_Range, re-targeting the peak at each one, and record the exposure it took.</t>
        </is>
      </c>
    </row>
    <row r="52">
      <c r="A52" s="46" t="inlineStr">
        <is>
          <t>14. Record Peak, Sat px, Sensor area, blobs, sigma, and whether the tracker detected it at all.</t>
        </is>
      </c>
    </row>
    <row r="53">
      <c r="A53" s="46" t="inlineStr">
        <is>
          <t>15. The near rows set the exposure CEILING (do not clip at the near limit, 0 deg) and the far rows set the FLOOR (enough area to hold sigma). If no single exposure satisfies both, the marker needs a bigger diffuser, more LEDs, or auto-exposure - find that out here, not in flight.</t>
        </is>
      </c>
    </row>
    <row r="55">
      <c r="A55" s="38" t="inlineStr">
        <is>
          <t>WHAT DECIDES THE WINNER</t>
        </is>
      </c>
    </row>
    <row r="57">
      <c r="A57" s="46" t="inlineStr">
        <is>
          <t>Primary:   lowest sigma_RMS among the 8 marker builds, each measured at peak 200-230. That IS your measurement noise - it sets CENTROID_SIGMA.</t>
        </is>
      </c>
    </row>
    <row r="58">
      <c r="A58" s="46" t="inlineStr">
        <is>
          <t>Gate 1:    blobs = 1 and w/h near 1.00 on every reading. A split or lumpy blob invalidates everything measured from it.</t>
        </is>
      </c>
    </row>
    <row r="59">
      <c r="A59" s="46" t="inlineStr">
        <is>
          <t>Gate 2:    Sat px = 0. A saturated marker has a flat top and no subpixel information - and it reports a deceptively LOW sigma, which is how a clipped LED wins a ranking it should lose.</t>
        </is>
      </c>
    </row>
    <row r="60">
      <c r="A60" s="46" t="inlineStr">
        <is>
          <t>Gate 3:    sig_v/sig_u below ~3. Anisotropic noise is a systematic - a build or rig fault - not sensor noise.</t>
        </is>
      </c>
    </row>
    <row r="61">
      <c r="A61" s="46" t="inlineStr">
        <is>
          <t>Gate 4:    roll bias small next to sigma_RMS. Noise averages out over frames; bias does not, and the EKF cannot see it.</t>
        </is>
      </c>
    </row>
    <row r="62">
      <c r="A62" s="46" t="inlineStr">
        <is>
          <t>Gate 5:    detected at the far limit with enough area, and not clipped at the near limit at 0 deg.</t>
        </is>
      </c>
    </row>
    <row r="63">
      <c r="A63" s="46" t="inlineStr">
        <is>
          <t>Tiebreak:  exposure needed for peak 210. Less exposure = less motion smear (400 us costs 1.2 px of smear at 3000 px/s, 3000 us costs 9). A brighter build is an asset, not a defect.</t>
        </is>
      </c>
    </row>
    <row r="64">
      <c r="A64" s="46" t="inlineStr">
        <is>
          <t>Tiebreak:  if both diameters pass every gate within a few percent, take the 20 mm - smaller marker, less occlusion, closer packing on the rig.</t>
        </is>
      </c>
    </row>
    <row r="65">
      <c r="A65" s="46" t="inlineStr">
        <is>
          <t>Bare rows: kept to attribute a bad marker to the LED rather than the build, and to price the diffuser - exposure bare vs diffused is the light the blend cost you.</t>
        </is>
      </c>
    </row>
    <row r="67">
      <c r="A67" s="50" t="inlineStr">
        <is>
          <t>EXAMPLE ROW - this is the format expected on A_Bench:</t>
        </is>
      </c>
    </row>
    <row r="68">
      <c r="A68" s="47" t="inlineStr">
        <is>
          <t>LED Type</t>
        </is>
      </c>
      <c r="B68" s="47" t="inlineStr">
        <is>
          <t>Build</t>
        </is>
      </c>
      <c r="C68" s="47" t="inlineStr">
        <is>
          <t>Sample</t>
        </is>
      </c>
      <c r="D68" s="47" t="inlineStr">
        <is>
          <t>Drive I</t>
        </is>
      </c>
      <c r="E68" s="47" t="inlineStr">
        <is>
          <t>Exposure</t>
        </is>
      </c>
      <c r="F68" s="47" t="inlineStr">
        <is>
          <t>Peak</t>
        </is>
      </c>
      <c r="G68" s="47" t="inlineStr">
        <is>
          <t>Sat px</t>
        </is>
      </c>
      <c r="H68" s="47" t="inlineStr">
        <is>
          <t>Area</t>
        </is>
      </c>
      <c r="I68" s="47" t="inlineStr">
        <is>
          <t>npix</t>
        </is>
      </c>
      <c r="J68" s="47" t="inlineStr">
        <is>
          <t>blobs</t>
        </is>
      </c>
      <c r="K68" s="47" t="inlineStr">
        <is>
          <t>w/h</t>
        </is>
      </c>
      <c r="L68" s="47" t="inlineStr">
        <is>
          <t>sigma_u</t>
        </is>
      </c>
      <c r="M68" s="47" t="inlineStr">
        <is>
          <t>sigma_v</t>
        </is>
      </c>
    </row>
    <row r="69">
      <c r="A69" s="51" t="inlineStr">
        <is>
          <t>Everlight</t>
        </is>
      </c>
      <c r="B69" s="51" t="inlineStr">
        <is>
          <t>20 mm</t>
        </is>
      </c>
      <c r="C69" s="51" t="n">
        <v>1</v>
      </c>
      <c r="D69" s="51" t="n">
        <v>38.2</v>
      </c>
      <c r="E69" s="51" t="n">
        <v>386</v>
      </c>
      <c r="F69" s="51" t="n">
        <v>218</v>
      </c>
      <c r="G69" s="51" t="n">
        <v>0</v>
      </c>
      <c r="H69" s="51" t="n">
        <v>984</v>
      </c>
      <c r="I69" s="51" t="n">
        <v>962</v>
      </c>
      <c r="J69" s="51" t="n">
        <v>1</v>
      </c>
      <c r="K69" s="51" t="n">
        <v>1.03</v>
      </c>
      <c r="L69" s="51" t="n">
        <v>0.0298</v>
      </c>
      <c r="M69" s="51" t="n">
        <v>0.0271</v>
      </c>
    </row>
    <row r="71">
      <c r="A71" s="92" t="inlineStr">
        <is>
          <t>TEST E - Pulsed / strobed drive   (the condition the strobed PCB will actually run in)</t>
        </is>
      </c>
    </row>
    <row r="72">
      <c r="A72" s="91" t="inlineStr">
        <is>
          <t>16. Everything on A_Bench is DC. Before committing the PCB, repeat the best builds under pulse on sheet E_Strobe.</t>
        </is>
      </c>
    </row>
    <row r="73">
      <c r="A73" s="91" t="inlineStr">
        <is>
          <t>17. PULSE WIDTH FIRST. The shutter rolls: row r starts integrating r x 21.3 us after row 0, so a pulse shorter than (marker row span x row time + exposure) lights only PART of the marker. At 30 rows and ~1200 us exposure that floor is ~1.8 ms. Sweep the width and find where the banding stops.</t>
        </is>
      </c>
    </row>
    <row r="74">
      <c r="A74" s="91" t="inlineStr">
        <is>
          <t>18. A short pulse bands the blob exactly like saturation does. Tell them apart: saturation banding needs the blob to CLIP; strobe banding shows a sharp boundary row whether it clips or not.</t>
        </is>
      </c>
    </row>
    <row r="75">
      <c r="A75" s="91" t="inlineStr">
        <is>
          <t>19. Then E2: same build, pulsed vs its DC row. Fill and blobs are geometry and must not move. Pulsed/DC sigma near 1.00 means the strobe is harmless.</t>
        </is>
      </c>
    </row>
    <row r="76">
      <c r="A76" s="91" t="inlineStr">
        <is>
          <t>20. E3 reads the strobe edge off the rolling shutter. The boundary row IS a sub-frame timestamp, good to about one row time (~21 us) against 10-30 ms for frame-level alignment. That is what makes extrinsic calibration possible without hardware sync.</t>
        </is>
      </c>
    </row>
    <row r="77">
      <c r="A77" s="91" t="inlineStr">
        <is>
          <t>21. Keep the marker lit during EVERY tracking exposure. Prefer mostly-ON with brief OFF gaps rather than a low-duty flash, or most frames will be blank and the wand will not be tracked.</t>
        </is>
      </c>
    </row>
    <row r="79">
      <c r="A79" s="92" t="inlineStr">
        <is>
          <t>TEST F - Ambient IR and threshold headroom   (run FIRST tomorrow - it gates Test E)</t>
        </is>
      </c>
    </row>
    <row r="80">
      <c r="A80" s="91" t="inlineStr">
        <is>
          <t>22. LEDs OFF. Sweep exposure 100 us to 30 ms and record background mean, SD, max and uniformity (sheet F_Ambient). Do it under the lighting you will actually calibrate in.</t>
        </is>
      </c>
    </row>
    <row r="81">
      <c r="A81" s="91" t="inlineStr">
        <is>
          <t>23. The longest exposure whose background max stays well under THRESH_LO is your ceiling. That ceiling decides whether Test E regime B (long exposure, short flash) is available at all.</t>
        </is>
      </c>
    </row>
    <row r="82">
      <c r="A82" s="91" t="inlineStr">
        <is>
          <t>24. Raise REFINE_FLOOR with the background, not just THRESH_LO: it is subtracted before weighting, so a floor below the background drags the centroid toward the box centre.</t>
        </is>
      </c>
    </row>
    <row r="83">
      <c r="A83" s="91" t="inlineStr">
        <is>
          <t>25. F3 is the decisive one: target the SAME peak at low and high background and compare sigma. Equal sigma means the background is only an offset. Degraded sigma means shot noise, which no threshold recovers.</t>
        </is>
      </c>
    </row>
    <row r="84">
      <c r="A84" s="91" t="inlineStr">
        <is>
          <t>26. A visible-light-cut filter passes ALL IR, and daylight is strong at 700-1100 nm. All four LEDs are 850 nm, so an 850 nm BANDPASS filter is the real fix. Remedies cheapest first: calibrate at night / black out; bandpass filter; shorter exposure; then raise THRESH_LO.</t>
        </is>
      </c>
    </row>
    <row r="86">
      <c r="A86" s="92" t="inlineStr">
        <is>
          <t>TEST G - Diffuser geometry: diameter x wall thickness   (sheet G_Diffuser)</t>
        </is>
      </c>
    </row>
    <row r="87">
      <c r="A87" s="91" t="inlineStr">
        <is>
          <t>27. 2 diameters x 3 wall thicknesses (2 / 3 / 4 mm) x 4 LED types. The 2 mm rows are already measured and are pulled from A_Bench - do not repeat them.</t>
        </is>
      </c>
    </row>
    <row r="88">
      <c r="A88" s="91" t="inlineStr">
        <is>
          <t>28. Do priority 1 first: Vishay and Kingbright at 3 and 4 mm. They are the parts that ring and they have the exposure budget to pay for a thicker wall.</t>
        </is>
      </c>
    </row>
    <row r="89">
      <c r="A89" s="91" t="inlineStr">
        <is>
          <t>29. XL is priority 3 and is a CONTROL: it already fills at 2 mm, so its exposure-vs-wall curve measures the material's attenuation per mm and predicts the cost for the other parts.</t>
        </is>
      </c>
    </row>
    <row r="90">
      <c r="A90" s="91" t="inlineStr">
        <is>
          <t>30. Record whether the wall grew inward (outer diameter fixed) or outward. Growing inward shrinks the cavity and the LED standoff at the same time, so thickness and standoff are confounded - the sheet computes both so the effect is visible.</t>
        </is>
      </c>
    </row>
    <row r="91">
      <c r="A91" s="91" t="inlineStr">
        <is>
          <t>31. A thicker wall is only a win if the fill gate passes WITHOUT pricing the build out on exposure. Every 1000 us costs ~1.3 px of smear at 1 m/s.</t>
        </is>
      </c>
    </row>
    <row r="93">
      <c r="A93" s="92" t="inlineStr">
        <is>
          <t>TEST C2 - THRESH_LO sweep   (do it WITH Test C, before the final Test A run)</t>
        </is>
      </c>
    </row>
    <row r="94">
      <c r="A94" s="91" t="inlineStr">
        <is>
          <t>32. THRESH_LO has been 80 since run 1, but the background measures max 4 counts - flat across 300x of exposure. 80 is ~20x above the noise floor and is discarding the blob's dim skirt, which is the signal that matters at maximum range.</t>
        </is>
      </c>
    </row>
    <row r="95">
      <c r="A95" s="91" t="inlineStr">
        <is>
          <t>33. At the FAR limit, sweep THRESH_LO 80 / 60 / 50 / 40 / 30 / 20 and record detection, area, npix, fill and sigma. Area should grow and sigma should improve.</t>
        </is>
      </c>
    </row>
    <row r="96">
      <c r="A96" s="91" t="inlineStr">
        <is>
          <t>34. Repeat at the NEAR limit and count FALSE blobs in the whole frame. The limit is reflections and glare, not the sensor floor. The chosen value must survive both ends.</t>
        </is>
      </c>
    </row>
    <row r="97">
      <c r="A97" s="91" t="inlineStr">
        <is>
          <t>35. If you adopt a new value, recompute AREA_MIN_SENSOR (~0.7x the area at max range at the new threshold) and re-sweep REFINE_FLOOR. Every area figure taken at 80 becomes incomparable, so decide BEFORE the final Test A run.</t>
        </is>
      </c>
    </row>
  </sheetData>
  <pageMargins left="0.75" right="0.75" top="1" bottom="1" header="0.5" footer="0.5"/>
</worksheet>
</file>

<file path=xl/worksheets/sheet2.xml><?xml version="1.0" encoding="utf-8"?>
<worksheet xmlns="http://schemas.openxmlformats.org/spreadsheetml/2006/main">
  <sheetPr>
    <tabColor rgb="FF1F3864"/>
    <outlinePr summaryBelow="1" summaryRight="1"/>
    <pageSetUpPr/>
  </sheetPr>
  <dimension ref="A1:U16"/>
  <sheetViews>
    <sheetView showGridLines="0" tabSelected="1" workbookViewId="0">
      <pane xSplit="3" ySplit="4" topLeftCell="D5" activePane="bottomRight" state="frozen"/>
      <selection pane="topRight" activeCell="A1" sqref="A1"/>
      <selection pane="bottomLeft" activeCell="A1" sqref="A1"/>
      <selection pane="bottomRight" activeCell="G24" sqref="G24"/>
    </sheetView>
  </sheetViews>
  <sheetFormatPr baseColWidth="10" defaultColWidth="8.83203125" defaultRowHeight="15"/>
  <cols>
    <col width="13" customWidth="1" min="1" max="1"/>
    <col width="11" customWidth="1" min="2" max="2"/>
    <col width="9" customWidth="1" min="3" max="4"/>
    <col width="10" customWidth="1" min="4" max="4"/>
    <col width="10" customWidth="1" min="5" max="5"/>
    <col width="9" customWidth="1" min="6" max="7"/>
    <col width="10" customWidth="1" min="8" max="8"/>
    <col width="13" customWidth="1" min="9" max="9"/>
    <col width="12" customWidth="1" min="10" max="10"/>
    <col width="11" customWidth="1" min="11" max="13"/>
    <col width="9" customWidth="1" min="14" max="14"/>
    <col width="11" customWidth="1" min="15" max="16"/>
    <col width="12" customWidth="1" min="17" max="18"/>
    <col width="46" customWidth="1" min="19" max="19"/>
    <col width="12" customWidth="1" min="21" max="21"/>
  </cols>
  <sheetData>
    <row r="1" ht="18" customHeight="1">
      <c r="A1" s="1" t="inlineStr">
        <is>
          <t>TEST A - Bench comparison at 4 m, 0 deg   (run 3, 0.2 mm wall)</t>
        </is>
      </c>
    </row>
    <row r="2">
      <c r="A2" s="2" t="inlineStr">
        <is>
          <t>Blue on yellow = fill in.  Black = calculated.  Peak 200-230 is the controlled variable. RUN 3 FOCUS DIFFERS FROM RUN 2: the rig was rebuilt and the lens is sharper, so exposure, area and fill are NOT comparable across runs (same total flux, packed into 26% fewer pixels). Within run 3 everything is comparable. All diffused rows here are 0.2 mm wall; 0.4 and 0.5 mm are on G_Diffuser.</t>
        </is>
      </c>
    </row>
    <row r="3" ht="30" customHeight="1">
      <c r="A3" s="8" t="inlineStr">
        <is>
          <t>LED Type</t>
        </is>
      </c>
      <c r="B3" s="8" t="inlineStr">
        <is>
          <t>Build</t>
        </is>
      </c>
      <c r="C3" s="8" t="inlineStr">
        <is>
          <t>Sample</t>
        </is>
      </c>
      <c r="D3" s="8" t="inlineStr">
        <is>
          <t>Distance
(m)</t>
        </is>
      </c>
      <c r="E3" s="8" t="inlineStr">
        <is>
          <t>Drive I
(mA)</t>
        </is>
      </c>
      <c r="F3" s="8" t="inlineStr">
        <is>
          <t>Exposure
(us)</t>
        </is>
      </c>
      <c r="G3" s="8" t="inlineStr">
        <is>
          <t>Peak
(0-255)</t>
        </is>
      </c>
      <c r="H3" s="8" t="inlineStr">
        <is>
          <t>Sat px</t>
        </is>
      </c>
      <c r="I3" s="8" t="inlineStr">
        <is>
          <t>Frames sat
(of 200)</t>
        </is>
      </c>
      <c r="J3" s="8" t="inlineStr">
        <is>
          <t>Next exposure
(us, aim 210)</t>
        </is>
      </c>
      <c r="K3" s="8" t="inlineStr">
        <is>
          <t>Sensor area
(px)</t>
        </is>
      </c>
      <c r="L3" s="8" t="inlineStr">
        <is>
          <t>npix
(refined)</t>
        </is>
      </c>
      <c r="M3" s="8" t="inlineStr">
        <is>
          <t>blobs
(must be 1)</t>
        </is>
      </c>
      <c r="N3" s="8" t="inlineStr">
        <is>
          <t>w/h
(want ~1.00)</t>
        </is>
      </c>
      <c r="O3" s="8" t="inlineStr">
        <is>
          <t>Blend
gate</t>
        </is>
      </c>
      <c r="P3" s="8" t="inlineStr">
        <is>
          <t>sigma_u
(px)</t>
        </is>
      </c>
      <c r="Q3" s="8" t="inlineStr">
        <is>
          <t>sigma_v
(px)</t>
        </is>
      </c>
      <c r="R3" s="8" t="inlineStr">
        <is>
          <t>sigma_RMS
(px)</t>
        </is>
      </c>
      <c r="S3" s="8" t="inlineStr">
        <is>
          <t>sig_v/sig_u
(&gt;3 = suspect)</t>
        </is>
      </c>
      <c r="T3" s="8" t="inlineStr">
        <is>
          <t>Notes</t>
        </is>
      </c>
      <c r="U3" s="8" t="inlineStr">
        <is>
          <t>Fill
(centre/rim)</t>
        </is>
      </c>
    </row>
    <row r="4">
      <c r="A4" s="9" t="inlineStr">
        <is>
          <t>EXAMPLE</t>
        </is>
      </c>
      <c r="B4" s="10" t="inlineStr">
        <is>
          <t>20 mm</t>
        </is>
      </c>
      <c r="C4" s="11" t="n">
        <v>1</v>
      </c>
      <c r="E4" s="54" t="n">
        <v>38.2</v>
      </c>
      <c r="F4" s="11" t="n">
        <v>386</v>
      </c>
      <c r="G4" s="11" t="n">
        <v>218</v>
      </c>
      <c r="H4" s="11" t="n">
        <v>0</v>
      </c>
      <c r="I4" s="11" t="n">
        <v>0</v>
      </c>
      <c r="J4" s="11">
        <f>IF(OR(F4="",G4="",G4=0),"",IF(H4&gt;0,"reduce light",ROUND(F4*210/G4/21.3,0)*21.3))</f>
        <v/>
      </c>
      <c r="K4" s="11" t="n">
        <v>984</v>
      </c>
      <c r="L4" s="11" t="n">
        <v>962</v>
      </c>
      <c r="M4" s="11" t="n">
        <v>1</v>
      </c>
      <c r="N4" s="13" t="n">
        <v>1.03</v>
      </c>
      <c r="O4" s="10">
        <f>IF(OR(M4="",N4="",U4=""),"",IF(AND(M4=1,N4&gt;=0.9,N4&lt;=1.1,U4&gt;=0.85),"pass","FAIL"))</f>
        <v/>
      </c>
      <c r="P4" s="55" t="n">
        <v>0.0298</v>
      </c>
      <c r="Q4" s="55" t="n">
        <v>0.0271</v>
      </c>
      <c r="R4" s="55">
        <f>IF(OR(P4="",Q4=""),"",SQRT(0.5*(P4^2+Q4^2)))</f>
        <v/>
      </c>
      <c r="S4" s="54">
        <f>IF(OR(P4="",Q4="",P4=0),"",Q4/P4)</f>
        <v/>
      </c>
      <c r="T4" s="9" t="inlineStr">
        <is>
          <t>peak in band, blend passes</t>
        </is>
      </c>
      <c r="U4" s="13" t="n"/>
    </row>
    <row r="5">
      <c r="A5" s="15" t="inlineStr">
        <is>
          <t>Vishay</t>
        </is>
      </c>
      <c r="B5" s="16" t="inlineStr">
        <is>
          <t>bare (ref)</t>
        </is>
      </c>
      <c r="C5" s="17" t="n">
        <v>1</v>
      </c>
      <c r="D5" s="56" t="n">
        <v>4</v>
      </c>
      <c r="E5" s="57" t="n">
        <v>78.8</v>
      </c>
      <c r="F5" s="19" t="n"/>
      <c r="G5" s="19" t="n"/>
      <c r="H5" s="58" t="n"/>
      <c r="I5" s="19" t="n"/>
      <c r="J5" s="17">
        <f>IF(OR(F5="",G5="",G5=0),"",IF(H5&gt;0,"reduce light",ROUND(F5*210/G5/21.3,0)*21.3))</f>
        <v/>
      </c>
      <c r="K5" s="19" t="n"/>
      <c r="L5" s="19" t="n"/>
      <c r="M5" s="19" t="n"/>
      <c r="N5" s="21" t="n"/>
      <c r="O5" s="16">
        <f>IF(OR(M5="",N5="",U5=""),"",IF(AND(M5=1,N5&gt;=0.9,N5&lt;=1.1,U5&gt;=0.85),"pass","FAIL"))</f>
        <v/>
      </c>
      <c r="P5" s="59" t="n"/>
      <c r="Q5" s="59" t="n"/>
      <c r="R5" s="60">
        <f>IF(OR(P5="",Q5=""),"",SQRT(0.5*(P5^2+Q5^2)))</f>
        <v/>
      </c>
      <c r="S5" s="57">
        <f>IF(OR(P5="",Q5="",P5=0),"",Q5/P5)</f>
        <v/>
      </c>
      <c r="T5" s="117" t="inlineStr"/>
      <c r="U5" s="21" t="n"/>
    </row>
    <row r="6">
      <c r="A6" s="25" t="inlineStr">
        <is>
          <t>Everlight</t>
        </is>
      </c>
      <c r="B6" s="26" t="inlineStr">
        <is>
          <t>bare (ref)</t>
        </is>
      </c>
      <c r="C6" s="27" t="n">
        <v>1</v>
      </c>
      <c r="D6" s="61" t="n">
        <v>4</v>
      </c>
      <c r="E6" s="53" t="n">
        <v>38.2</v>
      </c>
      <c r="F6" s="29" t="n"/>
      <c r="G6" s="29" t="n"/>
      <c r="H6" s="62" t="n"/>
      <c r="I6" s="29" t="n"/>
      <c r="J6" s="27">
        <f>IF(OR(F6="",G6="",G6=0),"",IF(H6&gt;0,"reduce light",ROUND(F6*210/G6/21.3,0)*21.3))</f>
        <v/>
      </c>
      <c r="K6" s="29" t="n"/>
      <c r="L6" s="29" t="n"/>
      <c r="M6" s="29" t="n"/>
      <c r="N6" s="31" t="n"/>
      <c r="O6" s="26">
        <f>IF(OR(M6="",N6="",U6=""),"",IF(AND(M6=1,N6&gt;=0.9,N6&lt;=1.1,U6&gt;=0.85),"pass","FAIL"))</f>
        <v/>
      </c>
      <c r="P6" s="63" t="n"/>
      <c r="Q6" s="63" t="n"/>
      <c r="R6" s="64">
        <f>IF(OR(P6="",Q6=""),"",SQRT(0.5*(P6^2+Q6^2)))</f>
        <v/>
      </c>
      <c r="S6" s="53">
        <f>IF(OR(P6="",Q6="",P6=0),"",Q6/P6)</f>
        <v/>
      </c>
      <c r="T6" s="118" t="inlineStr"/>
      <c r="U6" s="31" t="n"/>
    </row>
    <row r="7">
      <c r="A7" s="25" t="inlineStr">
        <is>
          <t>XL</t>
        </is>
      </c>
      <c r="B7" s="26" t="inlineStr">
        <is>
          <t>bare (ref)</t>
        </is>
      </c>
      <c r="C7" s="27" t="n">
        <v>1</v>
      </c>
      <c r="D7" s="61" t="n">
        <v>4</v>
      </c>
      <c r="E7" s="53" t="n">
        <v>21.7</v>
      </c>
      <c r="F7" s="29" t="n"/>
      <c r="G7" s="29" t="n"/>
      <c r="H7" s="62" t="n"/>
      <c r="I7" s="29" t="n"/>
      <c r="J7" s="27">
        <f>IF(OR(F7="",G7="",G7=0),"",IF(H7&gt;0,"reduce light",ROUND(F7*210/G7/21.3,0)*21.3))</f>
        <v/>
      </c>
      <c r="K7" s="29" t="n"/>
      <c r="L7" s="29" t="n"/>
      <c r="M7" s="29" t="n"/>
      <c r="N7" s="31" t="n"/>
      <c r="O7" s="26">
        <f>IF(OR(M7="",N7="",U7=""),"",IF(AND(M7=1,N7&gt;=0.9,N7&lt;=1.1,U7&gt;=0.85),"pass","FAIL"))</f>
        <v/>
      </c>
      <c r="P7" s="63" t="n"/>
      <c r="Q7" s="63" t="n"/>
      <c r="R7" s="64">
        <f>IF(OR(P7="",Q7=""),"",SQRT(0.5*(P7^2+Q7^2)))</f>
        <v/>
      </c>
      <c r="S7" s="53">
        <f>IF(OR(P7="",Q7="",P7=0),"",Q7/P7)</f>
        <v/>
      </c>
      <c r="T7" s="118" t="inlineStr"/>
      <c r="U7" s="31" t="n"/>
    </row>
    <row r="8">
      <c r="A8" s="25" t="inlineStr">
        <is>
          <t>Kingbright</t>
        </is>
      </c>
      <c r="B8" s="26" t="inlineStr">
        <is>
          <t>bare (ref)</t>
        </is>
      </c>
      <c r="C8" s="27" t="n">
        <v>1</v>
      </c>
      <c r="D8" s="61" t="n">
        <v>4</v>
      </c>
      <c r="E8" s="53" t="n">
        <v>38.2</v>
      </c>
      <c r="F8" s="29" t="n"/>
      <c r="G8" s="29" t="n"/>
      <c r="H8" s="62" t="n"/>
      <c r="I8" s="29" t="n"/>
      <c r="J8" s="27">
        <f>IF(OR(F8="",G8="",G8=0),"",IF(H8&gt;0,"reduce light",ROUND(F8*210/G8/21.3,0)*21.3))</f>
        <v/>
      </c>
      <c r="K8" s="29" t="n"/>
      <c r="L8" s="29" t="n"/>
      <c r="M8" s="29" t="n"/>
      <c r="N8" s="31" t="n"/>
      <c r="O8" s="26">
        <f>IF(OR(M8="",N8="",U8=""),"",IF(AND(M8=1,N8&gt;=0.9,N8&lt;=1.1,U8&gt;=0.85),"pass","FAIL"))</f>
        <v/>
      </c>
      <c r="P8" s="63" t="n"/>
      <c r="Q8" s="63" t="n"/>
      <c r="R8" s="64">
        <f>IF(OR(P8="",Q8=""),"",SQRT(0.5*(P8^2+Q8^2)))</f>
        <v/>
      </c>
      <c r="S8" s="53">
        <f>IF(OR(P8="",Q8="",P8=0),"",Q8/P8)</f>
        <v/>
      </c>
      <c r="T8" s="118" t="inlineStr"/>
      <c r="U8" s="31" t="n"/>
    </row>
    <row r="9">
      <c r="A9" s="15" t="inlineStr">
        <is>
          <t>Vishay</t>
        </is>
      </c>
      <c r="B9" s="16" t="inlineStr">
        <is>
          <t>20 mm</t>
        </is>
      </c>
      <c r="C9" s="17" t="n">
        <v>1</v>
      </c>
      <c r="D9" s="56" t="n">
        <v>4</v>
      </c>
      <c r="E9" s="57" t="n">
        <v>78.8</v>
      </c>
      <c r="F9" s="19" t="n"/>
      <c r="G9" s="19" t="n"/>
      <c r="H9" s="58" t="n"/>
      <c r="I9" s="19" t="n"/>
      <c r="J9" s="17">
        <f>IF(OR(F9="",G9="",G9=0),"",IF(H9&gt;0,"reduce light",ROUND(F9*210/G9/21.3,0)*21.3))</f>
        <v/>
      </c>
      <c r="K9" s="19" t="n"/>
      <c r="L9" s="19" t="n"/>
      <c r="M9" s="19" t="n"/>
      <c r="N9" s="21" t="n"/>
      <c r="O9" s="16">
        <f>IF(OR(M9="",N9="",U9=""),"",IF(AND(M9=1,N9&gt;=0.9,N9&lt;=1.1,U9&gt;=0.85),"pass","FAIL"))</f>
        <v/>
      </c>
      <c r="P9" s="59" t="n"/>
      <c r="Q9" s="59" t="n"/>
      <c r="R9" s="60">
        <f>IF(OR(P9="",Q9=""),"",SQRT(0.5*(P9^2+Q9^2)))</f>
        <v/>
      </c>
      <c r="S9" s="57">
        <f>IF(OR(P9="",Q9="",P9=0),"",Q9/P9)</f>
        <v/>
      </c>
      <c r="T9" s="117" t="inlineStr"/>
      <c r="U9" s="21" t="n"/>
    </row>
    <row r="10">
      <c r="A10" s="25" t="inlineStr">
        <is>
          <t>Everlight</t>
        </is>
      </c>
      <c r="B10" s="26" t="inlineStr">
        <is>
          <t>20 mm</t>
        </is>
      </c>
      <c r="C10" s="27" t="n">
        <v>1</v>
      </c>
      <c r="D10" s="61" t="n">
        <v>4</v>
      </c>
      <c r="E10" s="53" t="n">
        <v>38.2</v>
      </c>
      <c r="F10" s="29" t="n"/>
      <c r="G10" s="29" t="n"/>
      <c r="H10" s="62" t="n"/>
      <c r="I10" s="29" t="n"/>
      <c r="J10" s="27">
        <f>IF(OR(F10="",G10="",G10=0),"",IF(H10&gt;0,"reduce light",ROUND(F10*210/G10/21.3,0)*21.3))</f>
        <v/>
      </c>
      <c r="K10" s="29" t="n"/>
      <c r="L10" s="29" t="n"/>
      <c r="M10" s="29" t="n"/>
      <c r="N10" s="31" t="n"/>
      <c r="O10" s="26">
        <f>IF(OR(M10="",N10="",U10=""),"",IF(AND(M10=1,N10&gt;=0.9,N10&lt;=1.1,U10&gt;=0.85),"pass","FAIL"))</f>
        <v/>
      </c>
      <c r="P10" s="63" t="n"/>
      <c r="Q10" s="63" t="n"/>
      <c r="R10" s="64">
        <f>IF(OR(P10="",Q10=""),"",SQRT(0.5*(P10^2+Q10^2)))</f>
        <v/>
      </c>
      <c r="S10" s="53">
        <f>IF(OR(P10="",Q10="",P10=0),"",Q10/P10)</f>
        <v/>
      </c>
      <c r="T10" s="118" t="inlineStr"/>
      <c r="U10" s="31" t="n"/>
    </row>
    <row r="11">
      <c r="A11" s="25" t="inlineStr">
        <is>
          <t>XL</t>
        </is>
      </c>
      <c r="B11" s="26" t="inlineStr">
        <is>
          <t>20 mm</t>
        </is>
      </c>
      <c r="C11" s="27" t="n">
        <v>1</v>
      </c>
      <c r="D11" s="61" t="n">
        <v>4</v>
      </c>
      <c r="E11" s="53" t="n">
        <v>21.7</v>
      </c>
      <c r="F11" s="29" t="n"/>
      <c r="G11" s="29" t="n"/>
      <c r="H11" s="62" t="n"/>
      <c r="I11" s="29" t="n"/>
      <c r="J11" s="27">
        <f>IF(OR(F11="",G11="",G11=0),"",IF(H11&gt;0,"reduce light",ROUND(F11*210/G11/21.3,0)*21.3))</f>
        <v/>
      </c>
      <c r="K11" s="29" t="n"/>
      <c r="L11" s="29" t="n"/>
      <c r="M11" s="29" t="n"/>
      <c r="N11" s="31" t="n"/>
      <c r="O11" s="26">
        <f>IF(OR(M11="",N11="",U11=""),"",IF(AND(M11=1,N11&gt;=0.9,N11&lt;=1.1,U11&gt;=0.85),"pass","FAIL"))</f>
        <v/>
      </c>
      <c r="P11" s="63" t="n"/>
      <c r="Q11" s="63" t="n"/>
      <c r="R11" s="64">
        <f>IF(OR(P11="",Q11=""),"",SQRT(0.5*(P11^2+Q11^2)))</f>
        <v/>
      </c>
      <c r="S11" s="53">
        <f>IF(OR(P11="",Q11="",P11=0),"",Q11/P11)</f>
        <v/>
      </c>
      <c r="T11" s="118" t="inlineStr"/>
      <c r="U11" s="31" t="n"/>
    </row>
    <row r="12">
      <c r="A12" s="25" t="inlineStr">
        <is>
          <t>Kingbright</t>
        </is>
      </c>
      <c r="B12" s="26" t="inlineStr">
        <is>
          <t>20 mm</t>
        </is>
      </c>
      <c r="C12" s="27" t="n">
        <v>1</v>
      </c>
      <c r="D12" s="61" t="n">
        <v>4</v>
      </c>
      <c r="E12" s="53" t="n">
        <v>38.2</v>
      </c>
      <c r="F12" s="29" t="n">
        <v>790</v>
      </c>
      <c r="G12" s="29" t="n">
        <v>208.1</v>
      </c>
      <c r="H12" s="62" t="n">
        <v>0</v>
      </c>
      <c r="I12" s="29" t="n">
        <v>0</v>
      </c>
      <c r="J12" s="27">
        <f>IF(OR(F12="",G12="",G12=0),"",IF(H12&gt;0,"reduce light",ROUND(F12*210/G12/21.3,0)*21.3))</f>
        <v/>
      </c>
      <c r="K12" s="29" t="n">
        <v>506</v>
      </c>
      <c r="L12" s="29" t="n">
        <v>676</v>
      </c>
      <c r="M12" s="29" t="n">
        <v>1</v>
      </c>
      <c r="N12" s="31" t="n">
        <v>0.96</v>
      </c>
      <c r="O12" s="26">
        <f>IF(OR(M12="",N12="",U12=""),"",IF(AND(M12=1,N12&gt;=0.9,N12&lt;=1.1,U12&gt;=0.85),"pass","FAIL"))</f>
        <v/>
      </c>
      <c r="P12" s="63" t="n">
        <v>0.0263</v>
      </c>
      <c r="Q12" s="63" t="n">
        <v>0.0267</v>
      </c>
      <c r="R12" s="64">
        <f>IF(OR(P12="",Q12=""),"",SQRT(0.5*(P12^2+Q12^2)))</f>
        <v/>
      </c>
      <c r="S12" s="53">
        <f>IF(OR(P12="",Q12="",P12=0),"",Q12/P12)</f>
        <v/>
      </c>
      <c r="T12" s="118" t="inlineStr">
        <is>
          <t>Run 3 baseline for the 0.4/0.5 ladder.  peak 208.1 (max 222), sat 0, blend FAIL, sig_v/sig_u 1.02</t>
        </is>
      </c>
      <c r="U12" s="31" t="n">
        <v>0.62</v>
      </c>
    </row>
    <row r="13">
      <c r="A13" s="15" t="inlineStr">
        <is>
          <t>Vishay</t>
        </is>
      </c>
      <c r="B13" s="16" t="inlineStr">
        <is>
          <t>25 mm</t>
        </is>
      </c>
      <c r="C13" s="17" t="n">
        <v>1</v>
      </c>
      <c r="D13" s="56" t="n">
        <v>4</v>
      </c>
      <c r="E13" s="57" t="n">
        <v>78.8</v>
      </c>
      <c r="F13" s="19" t="n"/>
      <c r="G13" s="19" t="n"/>
      <c r="H13" s="58" t="n"/>
      <c r="I13" s="19" t="n"/>
      <c r="J13" s="17">
        <f>IF(OR(F13="",G13="",G13=0),"",IF(H13&gt;0,"reduce light",ROUND(F13*210/G13/21.3,0)*21.3))</f>
        <v/>
      </c>
      <c r="K13" s="19" t="n"/>
      <c r="L13" s="19" t="n"/>
      <c r="M13" s="19" t="n"/>
      <c r="N13" s="21" t="n"/>
      <c r="O13" s="16">
        <f>IF(OR(M13="",N13="",U13=""),"",IF(AND(M13=1,N13&gt;=0.9,N13&lt;=1.1,U13&gt;=0.85),"pass","FAIL"))</f>
        <v/>
      </c>
      <c r="P13" s="59" t="n"/>
      <c r="Q13" s="59" t="n"/>
      <c r="R13" s="60">
        <f>IF(OR(P13="",Q13=""),"",SQRT(0.5*(P13^2+Q13^2)))</f>
        <v/>
      </c>
      <c r="S13" s="57">
        <f>IF(OR(P13="",Q13="",P13=0),"",Q13/P13)</f>
        <v/>
      </c>
      <c r="T13" s="117" t="inlineStr"/>
      <c r="U13" s="21" t="n"/>
    </row>
    <row r="14">
      <c r="A14" s="25" t="inlineStr">
        <is>
          <t>Everlight</t>
        </is>
      </c>
      <c r="B14" s="26" t="inlineStr">
        <is>
          <t>25 mm</t>
        </is>
      </c>
      <c r="C14" s="27" t="n">
        <v>1</v>
      </c>
      <c r="D14" s="61" t="n">
        <v>4</v>
      </c>
      <c r="E14" s="53" t="n">
        <v>38.2</v>
      </c>
      <c r="F14" s="29" t="n"/>
      <c r="G14" s="29" t="n"/>
      <c r="H14" s="62" t="n"/>
      <c r="I14" s="29" t="n"/>
      <c r="J14" s="27">
        <f>IF(OR(F14="",G14="",G14=0),"",IF(H14&gt;0,"reduce light",ROUND(F14*210/G14/21.3,0)*21.3))</f>
        <v/>
      </c>
      <c r="K14" s="29" t="n"/>
      <c r="L14" s="29" t="n"/>
      <c r="M14" s="29" t="n"/>
      <c r="N14" s="31" t="n"/>
      <c r="O14" s="26">
        <f>IF(OR(M14="",N14="",U14=""),"",IF(AND(M14=1,N14&gt;=0.9,N14&lt;=1.1,U14&gt;=0.85),"pass","FAIL"))</f>
        <v/>
      </c>
      <c r="P14" s="63" t="n"/>
      <c r="Q14" s="63" t="n"/>
      <c r="R14" s="64">
        <f>IF(OR(P14="",Q14=""),"",SQRT(0.5*(P14^2+Q14^2)))</f>
        <v/>
      </c>
      <c r="S14" s="53">
        <f>IF(OR(P14="",Q14="",P14=0),"",Q14/P14)</f>
        <v/>
      </c>
      <c r="T14" s="118" t="inlineStr"/>
      <c r="U14" s="31" t="n"/>
    </row>
    <row r="15">
      <c r="A15" s="25" t="inlineStr">
        <is>
          <t>XL</t>
        </is>
      </c>
      <c r="B15" s="26" t="inlineStr">
        <is>
          <t>25 mm</t>
        </is>
      </c>
      <c r="C15" s="27" t="n">
        <v>1</v>
      </c>
      <c r="D15" s="61" t="n">
        <v>4</v>
      </c>
      <c r="E15" s="53" t="n">
        <v>21.7</v>
      </c>
      <c r="F15" s="29" t="n"/>
      <c r="G15" s="29" t="n"/>
      <c r="H15" s="62" t="n"/>
      <c r="I15" s="29" t="n"/>
      <c r="J15" s="27">
        <f>IF(OR(F15="",G15="",G15=0),"",IF(H15&gt;0,"reduce light",ROUND(F15*210/G15/21.3,0)*21.3))</f>
        <v/>
      </c>
      <c r="K15" s="29" t="n"/>
      <c r="L15" s="29" t="n"/>
      <c r="M15" s="29" t="n"/>
      <c r="N15" s="31" t="n"/>
      <c r="O15" s="26">
        <f>IF(OR(M15="",N15="",U15=""),"",IF(AND(M15=1,N15&gt;=0.9,N15&lt;=1.1,U15&gt;=0.85),"pass","FAIL"))</f>
        <v/>
      </c>
      <c r="P15" s="63" t="n"/>
      <c r="Q15" s="63" t="n"/>
      <c r="R15" s="64">
        <f>IF(OR(P15="",Q15=""),"",SQRT(0.5*(P15^2+Q15^2)))</f>
        <v/>
      </c>
      <c r="S15" s="53">
        <f>IF(OR(P15="",Q15="",P15=0),"",Q15/P15)</f>
        <v/>
      </c>
      <c r="T15" s="118" t="inlineStr"/>
      <c r="U15" s="31" t="n"/>
    </row>
    <row r="16">
      <c r="A16" s="25" t="inlineStr">
        <is>
          <t>Kingbright</t>
        </is>
      </c>
      <c r="B16" s="26" t="inlineStr">
        <is>
          <t>25 mm</t>
        </is>
      </c>
      <c r="C16" s="27" t="n">
        <v>1</v>
      </c>
      <c r="D16" s="61" t="n">
        <v>4</v>
      </c>
      <c r="E16" s="53" t="n">
        <v>38.2</v>
      </c>
      <c r="F16" s="29" t="n">
        <v>790</v>
      </c>
      <c r="G16" s="29" t="n">
        <v>213.7</v>
      </c>
      <c r="H16" s="62" t="n">
        <v>0</v>
      </c>
      <c r="I16" s="29" t="n">
        <v>0</v>
      </c>
      <c r="J16" s="27">
        <f>IF(OR(F16="",G16="",G16=0),"",IF(H16&gt;0,"reduce light",ROUND(F16*210/G16/21.3,0)*21.3))</f>
        <v/>
      </c>
      <c r="K16" s="29" t="n">
        <v>603</v>
      </c>
      <c r="L16" s="29" t="n">
        <v>685</v>
      </c>
      <c r="M16" s="29" t="n">
        <v>1</v>
      </c>
      <c r="N16" s="31" t="n">
        <v>0.99</v>
      </c>
      <c r="O16" s="26">
        <f>IF(OR(M16="",N16="",U16=""),"",IF(AND(M16=1,N16&gt;=0.9,N16&lt;=1.1,U16&gt;=0.85),"pass","FAIL"))</f>
        <v/>
      </c>
      <c r="P16" s="63" t="n">
        <v>0.0257</v>
      </c>
      <c r="Q16" s="63" t="n">
        <v>0.0272</v>
      </c>
      <c r="R16" s="64">
        <f>IF(OR(P16="",Q16=""),"",SQRT(0.5*(P16^2+Q16^2)))</f>
        <v/>
      </c>
      <c r="S16" s="53">
        <f>IF(OR(P16="",Q16="",P16=0),"",Q16/P16)</f>
        <v/>
      </c>
      <c r="T16" s="118" t="inlineStr">
        <is>
          <t>RE-SEAT CONTROL of the same cap. First fit: 808us peak202 area611 fill0.67 sigma0.0227. Area and fill reproduce to 1-2%; sigma moved 16%. Real build uncertainty on sigma is ~16%, not the 3% measured without re-seating.  peak 213.7 (max 233), sat 0, blend FAIL, sig_v/sig_u 1.06</t>
        </is>
      </c>
      <c r="U16" s="31" t="n">
        <v>0.66</v>
      </c>
    </row>
  </sheetData>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A1:S16"/>
  <sheetViews>
    <sheetView showGridLines="0" workbookViewId="0">
      <selection activeCell="A1" sqref="A1"/>
    </sheetView>
  </sheetViews>
  <sheetFormatPr baseColWidth="8" defaultRowHeight="15"/>
  <cols>
    <col width="13" customWidth="1" min="1" max="1"/>
    <col width="11" customWidth="1" min="2" max="2"/>
    <col width="9" customWidth="1" min="3" max="3"/>
    <col width="9" customWidth="1" min="4" max="4"/>
    <col width="10" customWidth="1" min="5" max="5"/>
    <col width="9" customWidth="1" min="6" max="6"/>
    <col width="9" customWidth="1" min="7" max="7"/>
    <col width="10" customWidth="1" min="8" max="8"/>
    <col width="13" customWidth="1" min="9" max="9"/>
    <col width="12" customWidth="1" min="10" max="10"/>
    <col width="11" customWidth="1" min="11" max="11"/>
    <col width="11" customWidth="1" min="12" max="12"/>
    <col width="11" customWidth="1" min="13" max="13"/>
    <col width="9" customWidth="1" min="14" max="14"/>
    <col width="11" customWidth="1" min="15" max="15"/>
    <col width="11" customWidth="1" min="16" max="16"/>
    <col width="12" customWidth="1" min="17" max="17"/>
    <col width="12" customWidth="1" min="18" max="18"/>
    <col width="46" customWidth="1" min="19" max="19"/>
  </cols>
  <sheetData>
    <row r="1">
      <c r="A1" s="65" t="inlineStr">
        <is>
          <t>RUN 1 - preliminary, superseded</t>
        </is>
      </c>
    </row>
    <row r="2">
      <c r="A2" s="66" t="inlineStr">
        <is>
          <t>Frozen record of the first characterisation. Distance was never recorded and 8 of the 12 rows were saturated, so the sigmas here are not usable - a clipped blob also bands on alternate rows (measured 2026-08-30), which is what drove sigma_v to 3.2-3.5 px on Kingbright.</t>
        </is>
      </c>
    </row>
    <row r="3" ht="30" customHeight="1">
      <c r="A3" s="8" t="inlineStr">
        <is>
          <t>LED Type</t>
        </is>
      </c>
      <c r="B3" s="8" t="inlineStr">
        <is>
          <t>Build</t>
        </is>
      </c>
      <c r="C3" s="8" t="inlineStr">
        <is>
          <t>Sample</t>
        </is>
      </c>
      <c r="D3" s="8" t="inlineStr">
        <is>
          <t>Drive I
(mA)</t>
        </is>
      </c>
      <c r="E3" s="8" t="inlineStr">
        <is>
          <t>Exposure
(us)</t>
        </is>
      </c>
      <c r="F3" s="8" t="inlineStr">
        <is>
          <t>Peak
(0-255)</t>
        </is>
      </c>
      <c r="G3" s="8" t="inlineStr">
        <is>
          <t>Sat px</t>
        </is>
      </c>
      <c r="H3" s="8" t="inlineStr">
        <is>
          <t>Frames sat
(of 200)</t>
        </is>
      </c>
      <c r="I3" s="8" t="inlineStr">
        <is>
          <t>Next exposure
(us, aim 210)</t>
        </is>
      </c>
      <c r="J3" s="8" t="inlineStr">
        <is>
          <t>Sensor area
(px)</t>
        </is>
      </c>
      <c r="K3" s="8" t="inlineStr">
        <is>
          <t>npix
(refined)</t>
        </is>
      </c>
      <c r="L3" s="8" t="inlineStr">
        <is>
          <t>blobs
(must be 1)</t>
        </is>
      </c>
      <c r="M3" s="8" t="inlineStr">
        <is>
          <t>w/h
(want ~1.00)</t>
        </is>
      </c>
      <c r="N3" s="8" t="inlineStr">
        <is>
          <t>Blend
gate</t>
        </is>
      </c>
      <c r="O3" s="8" t="inlineStr">
        <is>
          <t>sigma_u
(px)</t>
        </is>
      </c>
      <c r="P3" s="8" t="inlineStr">
        <is>
          <t>sigma_v
(px)</t>
        </is>
      </c>
      <c r="Q3" s="8" t="inlineStr">
        <is>
          <t>sigma_RMS
(px)</t>
        </is>
      </c>
      <c r="R3" s="8" t="inlineStr">
        <is>
          <t>sig_v/sig_u
(&gt;3 = suspect)</t>
        </is>
      </c>
      <c r="S3" s="8" t="inlineStr">
        <is>
          <t>Notes</t>
        </is>
      </c>
    </row>
    <row r="4">
      <c r="A4" s="9" t="inlineStr">
        <is>
          <t>EXAMPLE</t>
        </is>
      </c>
      <c r="B4" s="10" t="inlineStr">
        <is>
          <t>20 mm</t>
        </is>
      </c>
      <c r="C4" s="11" t="n">
        <v>1</v>
      </c>
      <c r="D4" s="54" t="n">
        <v>38.2</v>
      </c>
      <c r="E4" s="11" t="n">
        <v>386</v>
      </c>
      <c r="F4" s="11" t="n">
        <v>218</v>
      </c>
      <c r="G4" s="11" t="n">
        <v>0</v>
      </c>
      <c r="H4" s="11" t="n">
        <v>0</v>
      </c>
      <c r="I4" s="11">
        <f>IF(OR(E4="",F4="",F4=0),"",IF(G4&gt;0,"reduce light",ROUND(E4*210/F4/21.3,0)*21.3))</f>
        <v/>
      </c>
      <c r="J4" s="11" t="n">
        <v>984</v>
      </c>
      <c r="K4" s="11" t="n">
        <v>962</v>
      </c>
      <c r="L4" s="11" t="n">
        <v>1</v>
      </c>
      <c r="M4" s="13" t="n">
        <v>1.03</v>
      </c>
      <c r="N4" s="10">
        <f>IF(OR(L4="",M4=""),"",IF(AND(L4=1,M4&gt;=0.9,M4&lt;=1.1),"pass","FAIL"))</f>
        <v/>
      </c>
      <c r="O4" s="55" t="n">
        <v>0.0298</v>
      </c>
      <c r="P4" s="55" t="n">
        <v>0.0271</v>
      </c>
      <c r="Q4" s="55">
        <f>IF(OR(O4="",P4=""),"",SQRT(0.5*(O4^2+P4^2)))</f>
        <v/>
      </c>
      <c r="R4" s="54">
        <f>IF(OR(O4="",P4="",O4=0),"",P4/O4)</f>
        <v/>
      </c>
      <c r="S4" s="9" t="inlineStr">
        <is>
          <t>peak in band, blend passes</t>
        </is>
      </c>
    </row>
    <row r="5">
      <c r="A5" s="15" t="inlineStr">
        <is>
          <t>Vishay</t>
        </is>
      </c>
      <c r="B5" s="16" t="inlineStr">
        <is>
          <t>bare (ref)</t>
        </is>
      </c>
      <c r="C5" s="17" t="n">
        <v>1</v>
      </c>
      <c r="D5" s="57" t="n">
        <v>78.8</v>
      </c>
      <c r="E5" s="19" t="n">
        <v>85</v>
      </c>
      <c r="F5" s="19" t="n">
        <v>255</v>
      </c>
      <c r="G5" s="58" t="n">
        <v>71.3</v>
      </c>
      <c r="H5" s="19" t="n">
        <v>200</v>
      </c>
      <c r="I5" s="17">
        <f>IF(OR(E5="",F5="",F5=0),"",IF(G5&gt;0,"reduce light",ROUND(E5*210/F5/21.3,0)*21.3))</f>
        <v/>
      </c>
      <c r="J5" s="19" t="n">
        <v>736</v>
      </c>
      <c r="K5" s="19" t="n">
        <v>812</v>
      </c>
      <c r="L5" s="19" t="n">
        <v>1</v>
      </c>
      <c r="M5" s="21" t="n">
        <v>1</v>
      </c>
      <c r="N5" s="16">
        <f>IF(OR(L5="",M5=""),"",IF(AND(L5=1,M5&gt;=0.9,M5&lt;=1.1),"pass","FAIL"))</f>
        <v/>
      </c>
      <c r="O5" s="59" t="n">
        <v>0.0269</v>
      </c>
      <c r="P5" s="59" t="n">
        <v>0.0216</v>
      </c>
      <c r="Q5" s="60">
        <f>IF(OR(O5="",P5=""),"",SQRT(0.5*(O5^2+P5^2)))</f>
        <v/>
      </c>
      <c r="R5" s="57">
        <f>IF(OR(O5="",P5="",O5=0),"",P5/O5)</f>
        <v/>
      </c>
      <c r="S5" s="24" t="inlineStr">
        <is>
          <t>Exposure_uS = 85, Couldn't get it to be unsaturated : saturated 200/200 frames</t>
        </is>
      </c>
    </row>
    <row r="6">
      <c r="A6" s="25" t="inlineStr">
        <is>
          <t>Everlight</t>
        </is>
      </c>
      <c r="B6" s="26" t="inlineStr">
        <is>
          <t>bare (ref)</t>
        </is>
      </c>
      <c r="C6" s="27" t="n">
        <v>1</v>
      </c>
      <c r="D6" s="53" t="n">
        <v>38.2</v>
      </c>
      <c r="E6" s="29" t="n">
        <v>85</v>
      </c>
      <c r="F6" s="29" t="n">
        <v>255</v>
      </c>
      <c r="G6" s="62" t="n">
        <v>42.1</v>
      </c>
      <c r="H6" s="29" t="n"/>
      <c r="I6" s="27">
        <f>IF(OR(E6="",F6="",F6=0),"",IF(G6&gt;0,"reduce light",ROUND(E6*210/F6/21.3,0)*21.3))</f>
        <v/>
      </c>
      <c r="J6" s="29" t="n">
        <v>163</v>
      </c>
      <c r="K6" s="29" t="n">
        <v>237</v>
      </c>
      <c r="L6" s="29" t="n">
        <v>1</v>
      </c>
      <c r="M6" s="31" t="n">
        <v>0.9</v>
      </c>
      <c r="N6" s="26">
        <f>IF(OR(L6="",M6=""),"",IF(AND(L6=1,M6&gt;=0.9,M6&lt;=1.1),"pass","FAIL"))</f>
        <v/>
      </c>
      <c r="O6" s="63" t="n">
        <v>0.0409</v>
      </c>
      <c r="P6" s="63" t="n">
        <v>0.6624</v>
      </c>
      <c r="Q6" s="64">
        <f>IF(OR(O6="",P6=""),"",SQRT(0.5*(O6^2+P6^2)))</f>
        <v/>
      </c>
      <c r="R6" s="53">
        <f>IF(OR(O6="",P6="",O6=0),"",P6/O6)</f>
        <v/>
      </c>
      <c r="S6" s="34" t="inlineStr">
        <is>
          <t>Exposure_uS = 85</t>
        </is>
      </c>
    </row>
    <row r="7">
      <c r="A7" s="25" t="inlineStr">
        <is>
          <t>XL</t>
        </is>
      </c>
      <c r="B7" s="26" t="inlineStr">
        <is>
          <t>bare (ref)</t>
        </is>
      </c>
      <c r="C7" s="27" t="n">
        <v>1</v>
      </c>
      <c r="D7" s="53" t="n">
        <v>21.7</v>
      </c>
      <c r="E7" s="29" t="n">
        <v>235</v>
      </c>
      <c r="F7" s="29" t="n">
        <v>255</v>
      </c>
      <c r="G7" s="62" t="n">
        <v>7</v>
      </c>
      <c r="H7" s="29" t="n"/>
      <c r="I7" s="27">
        <f>IF(OR(E7="",F7="",F7=0),"",IF(G7&gt;0,"reduce light",ROUND(E7*210/F7/21.3,0)*21.3))</f>
        <v/>
      </c>
      <c r="J7" s="29" t="n">
        <v>280</v>
      </c>
      <c r="K7" s="29" t="n">
        <v>386</v>
      </c>
      <c r="L7" s="29" t="n">
        <v>1</v>
      </c>
      <c r="M7" s="31" t="n"/>
      <c r="N7" s="26">
        <f>IF(OR(L7="",M7=""),"",IF(AND(L7=1,M7&gt;=0.9,M7&lt;=1.1),"pass","FAIL"))</f>
        <v/>
      </c>
      <c r="O7" s="63" t="n">
        <v>0.06469999999999999</v>
      </c>
      <c r="P7" s="63" t="n">
        <v>0.2962</v>
      </c>
      <c r="Q7" s="64">
        <f>IF(OR(O7="",P7=""),"",SQRT(0.5*(O7^2+P7^2)))</f>
        <v/>
      </c>
      <c r="R7" s="53">
        <f>IF(OR(O7="",P7="",O7=0),"",P7/O7)</f>
        <v/>
      </c>
      <c r="S7" s="35" t="inlineStr">
        <is>
          <t>CHECK - row was entered shifted; unexplained value 3.5 sat in Sensor area. Exposure_uS = 235</t>
        </is>
      </c>
    </row>
    <row r="8">
      <c r="A8" s="25" t="inlineStr">
        <is>
          <t>Kingbright</t>
        </is>
      </c>
      <c r="B8" s="26" t="inlineStr">
        <is>
          <t>bare (ref)</t>
        </is>
      </c>
      <c r="C8" s="27" t="n">
        <v>1</v>
      </c>
      <c r="D8" s="53" t="n">
        <v>38.2</v>
      </c>
      <c r="E8" s="29" t="n">
        <v>42</v>
      </c>
      <c r="F8" s="29" t="n">
        <v>255</v>
      </c>
      <c r="G8" s="62" t="n">
        <v>89.7</v>
      </c>
      <c r="H8" s="29" t="n"/>
      <c r="I8" s="27">
        <f>IF(OR(E8="",F8="",F8=0),"",IF(G8&gt;0,"reduce light",ROUND(E8*210/F8/21.3,0)*21.3))</f>
        <v/>
      </c>
      <c r="J8" s="29" t="n">
        <v>323</v>
      </c>
      <c r="K8" s="29" t="n">
        <v>395</v>
      </c>
      <c r="L8" s="29" t="n">
        <v>1</v>
      </c>
      <c r="M8" s="31" t="n">
        <v>1.13</v>
      </c>
      <c r="N8" s="26">
        <f>IF(OR(L8="",M8=""),"",IF(AND(L8=1,M8&gt;=0.9,M8&lt;=1.1),"pass","FAIL"))</f>
        <v/>
      </c>
      <c r="O8" s="63" t="n">
        <v>0.09719999999999999</v>
      </c>
      <c r="P8" s="63" t="n">
        <v>0.2132</v>
      </c>
      <c r="Q8" s="64">
        <f>IF(OR(O8="",P8=""),"",SQRT(0.5*(O8^2+P8^2)))</f>
        <v/>
      </c>
      <c r="R8" s="53">
        <f>IF(OR(O8="",P8="",O8=0),"",P8/O8)</f>
        <v/>
      </c>
      <c r="S8" s="34" t="inlineStr">
        <is>
          <t>Exposure_uS = 42</t>
        </is>
      </c>
    </row>
    <row r="9">
      <c r="A9" s="15" t="inlineStr">
        <is>
          <t>Vishay</t>
        </is>
      </c>
      <c r="B9" s="16" t="inlineStr">
        <is>
          <t>20 mm</t>
        </is>
      </c>
      <c r="C9" s="17" t="n">
        <v>1</v>
      </c>
      <c r="D9" s="57" t="n">
        <v>78.8</v>
      </c>
      <c r="E9" s="19" t="n">
        <v>85</v>
      </c>
      <c r="F9" s="19" t="n">
        <v>255</v>
      </c>
      <c r="G9" s="58" t="n">
        <v>58</v>
      </c>
      <c r="H9" s="19" t="n">
        <v>200</v>
      </c>
      <c r="I9" s="17">
        <f>IF(OR(E9="",F9="",F9=0),"",IF(G9&gt;0,"reduce light",ROUND(E9*210/F9/21.3,0)*21.3))</f>
        <v/>
      </c>
      <c r="J9" s="19" t="n">
        <v>248</v>
      </c>
      <c r="K9" s="19" t="n">
        <v>328</v>
      </c>
      <c r="L9" s="19" t="n">
        <v>1</v>
      </c>
      <c r="M9" s="21" t="n">
        <v>1</v>
      </c>
      <c r="N9" s="16">
        <f>IF(OR(L9="",M9=""),"",IF(AND(L9=1,M9&gt;=0.9,M9&lt;=1.1),"pass","FAIL"))</f>
        <v/>
      </c>
      <c r="O9" s="59" t="n">
        <v>0.0427</v>
      </c>
      <c r="P9" s="59" t="n">
        <v>0.0166</v>
      </c>
      <c r="Q9" s="60">
        <f>IF(OR(O9="",P9=""),"",SQRT(0.5*(O9^2+P9^2)))</f>
        <v/>
      </c>
      <c r="R9" s="57">
        <f>IF(OR(O9="",P9="",O9=0),"",P9/O9)</f>
        <v/>
      </c>
      <c r="S9" s="24" t="inlineStr">
        <is>
          <t>Exposure_uS = 85, Couldn't get it to be unsaturated: saturated 200/200 frames</t>
        </is>
      </c>
    </row>
    <row r="10">
      <c r="A10" s="25" t="inlineStr">
        <is>
          <t>Everlight</t>
        </is>
      </c>
      <c r="B10" s="26" t="inlineStr">
        <is>
          <t>20 mm</t>
        </is>
      </c>
      <c r="C10" s="27" t="n">
        <v>1</v>
      </c>
      <c r="D10" s="53" t="n">
        <v>38.2</v>
      </c>
      <c r="E10" s="29" t="n">
        <v>386</v>
      </c>
      <c r="F10" s="29" t="n">
        <v>194</v>
      </c>
      <c r="G10" s="62" t="n">
        <v>0</v>
      </c>
      <c r="H10" s="29" t="n"/>
      <c r="I10" s="27">
        <f>IF(OR(E10="",F10="",F10=0),"",IF(G10&gt;0,"reduce light",ROUND(E10*210/F10/21.3,0)*21.3))</f>
        <v/>
      </c>
      <c r="J10" s="29" t="n">
        <v>541</v>
      </c>
      <c r="K10" s="29" t="n">
        <v>716</v>
      </c>
      <c r="L10" s="29" t="n">
        <v>1</v>
      </c>
      <c r="M10" s="31" t="n">
        <v>1</v>
      </c>
      <c r="N10" s="26">
        <f>IF(OR(L10="",M10=""),"",IF(AND(L10=1,M10&gt;=0.9,M10&lt;=1.1),"pass","FAIL"))</f>
        <v/>
      </c>
      <c r="O10" s="63" t="n">
        <v>0.0263</v>
      </c>
      <c r="P10" s="63" t="n">
        <v>0.04</v>
      </c>
      <c r="Q10" s="64">
        <f>IF(OR(O10="",P10=""),"",SQRT(0.5*(O10^2+P10^2)))</f>
        <v/>
      </c>
      <c r="R10" s="53">
        <f>IF(OR(O10="",P10="",O10=0),"",P10/O10)</f>
        <v/>
      </c>
      <c r="S10" s="34" t="inlineStr">
        <is>
          <t>Exposure_uS = 386</t>
        </is>
      </c>
    </row>
    <row r="11">
      <c r="A11" s="25" t="inlineStr">
        <is>
          <t>XL</t>
        </is>
      </c>
      <c r="B11" s="26" t="inlineStr">
        <is>
          <t>20 mm</t>
        </is>
      </c>
      <c r="C11" s="27" t="n">
        <v>1</v>
      </c>
      <c r="D11" s="53" t="n">
        <v>21.7</v>
      </c>
      <c r="E11" s="29" t="n">
        <v>493</v>
      </c>
      <c r="F11" s="29" t="n">
        <v>187</v>
      </c>
      <c r="G11" s="62" t="n">
        <v>0</v>
      </c>
      <c r="H11" s="29" t="n"/>
      <c r="I11" s="27">
        <f>IF(OR(E11="",F11="",F11=0),"",IF(G11&gt;0,"reduce light",ROUND(E11*210/F11/21.3,0)*21.3))</f>
        <v/>
      </c>
      <c r="J11" s="29" t="n">
        <v>855</v>
      </c>
      <c r="K11" s="29" t="n">
        <v>1117</v>
      </c>
      <c r="L11" s="29" t="n"/>
      <c r="M11" s="31" t="n"/>
      <c r="N11" s="26">
        <f>IF(OR(L11="",M11=""),"",IF(AND(L11=1,M11&gt;=0.9,M11&lt;=1.1),"pass","FAIL"))</f>
        <v/>
      </c>
      <c r="O11" s="63" t="n">
        <v>0.0305</v>
      </c>
      <c r="P11" s="63" t="n">
        <v>0.0305</v>
      </c>
      <c r="Q11" s="64">
        <f>IF(OR(O11="",P11=""),"",SQRT(0.5*(O11^2+P11^2)))</f>
        <v/>
      </c>
      <c r="R11" s="53">
        <f>IF(OR(O11="",P11="",O11=0),"",P11/O11)</f>
        <v/>
      </c>
      <c r="S11" s="34" t="inlineStr">
        <is>
          <t>Exposure_uS = 493</t>
        </is>
      </c>
    </row>
    <row r="12">
      <c r="A12" s="25" t="inlineStr">
        <is>
          <t>Kingbright</t>
        </is>
      </c>
      <c r="B12" s="26" t="inlineStr">
        <is>
          <t>20 mm</t>
        </is>
      </c>
      <c r="C12" s="27" t="n">
        <v>1</v>
      </c>
      <c r="D12" s="53" t="n">
        <v>38.2</v>
      </c>
      <c r="E12" s="29" t="n">
        <v>128</v>
      </c>
      <c r="F12" s="29" t="n">
        <v>252</v>
      </c>
      <c r="G12" s="62" t="n">
        <v>8.1</v>
      </c>
      <c r="H12" s="29" t="n">
        <v>188</v>
      </c>
      <c r="I12" s="27">
        <f>IF(OR(E12="",F12="",F12=0),"",IF(G12&gt;0,"reduce light",ROUND(E12*210/F12/21.3,0)*21.3))</f>
        <v/>
      </c>
      <c r="J12" s="29" t="n">
        <v>177</v>
      </c>
      <c r="K12" s="29" t="n">
        <v>298</v>
      </c>
      <c r="L12" s="29" t="n">
        <v>1</v>
      </c>
      <c r="M12" s="31" t="n">
        <v>1</v>
      </c>
      <c r="N12" s="26">
        <f>IF(OR(L12="",M12=""),"",IF(AND(L12=1,M12&gt;=0.9,M12&lt;=1.1),"pass","FAIL"))</f>
        <v/>
      </c>
      <c r="O12" s="63" t="n">
        <v>0.1574</v>
      </c>
      <c r="P12" s="63" t="n">
        <v>3.2473</v>
      </c>
      <c r="Q12" s="64">
        <f>IF(OR(O12="",P12=""),"",SQRT(0.5*(O12^2+P12^2)))</f>
        <v/>
      </c>
      <c r="R12" s="53">
        <f>IF(OR(O12="",P12="",O12=0),"",P12/O12)</f>
        <v/>
      </c>
      <c r="S12" s="34" t="inlineStr">
        <is>
          <t>Exposure_uS = 128, Couldn't get it to be unsaturated: saturated 188/200 frames</t>
        </is>
      </c>
    </row>
    <row r="13">
      <c r="A13" s="15" t="inlineStr">
        <is>
          <t>Vishay</t>
        </is>
      </c>
      <c r="B13" s="16" t="inlineStr">
        <is>
          <t>25 mm</t>
        </is>
      </c>
      <c r="C13" s="17" t="n">
        <v>1</v>
      </c>
      <c r="D13" s="57" t="n">
        <v>78.8</v>
      </c>
      <c r="E13" s="19" t="n">
        <v>85</v>
      </c>
      <c r="F13" s="19" t="n">
        <v>255</v>
      </c>
      <c r="G13" s="58" t="n">
        <v>67.7</v>
      </c>
      <c r="H13" s="19" t="n">
        <v>200</v>
      </c>
      <c r="I13" s="17">
        <f>IF(OR(E13="",F13="",F13=0),"",IF(G13&gt;0,"reduce light",ROUND(E13*210/F13/21.3,0)*21.3))</f>
        <v/>
      </c>
      <c r="J13" s="19" t="n">
        <v>347</v>
      </c>
      <c r="K13" s="19" t="n">
        <v>447</v>
      </c>
      <c r="L13" s="19" t="n">
        <v>1</v>
      </c>
      <c r="M13" s="21" t="n">
        <v>1.13</v>
      </c>
      <c r="N13" s="16">
        <f>IF(OR(L13="",M13=""),"",IF(AND(L13=1,M13&gt;=0.9,M13&lt;=1.1),"pass","FAIL"))</f>
        <v/>
      </c>
      <c r="O13" s="59" t="n">
        <v>0.0536</v>
      </c>
      <c r="P13" s="59" t="n">
        <v>0.0165</v>
      </c>
      <c r="Q13" s="60">
        <f>IF(OR(O13="",P13=""),"",SQRT(0.5*(O13^2+P13^2)))</f>
        <v/>
      </c>
      <c r="R13" s="57">
        <f>IF(OR(O13="",P13="",O13=0),"",P13/O13)</f>
        <v/>
      </c>
      <c r="S13" s="24" t="inlineStr">
        <is>
          <t>Exposure_uS = 85, Couldn't get it to be unsaturated: saturated 200/200 frames</t>
        </is>
      </c>
    </row>
    <row r="14">
      <c r="A14" s="25" t="inlineStr">
        <is>
          <t>Everlight</t>
        </is>
      </c>
      <c r="B14" s="26" t="inlineStr">
        <is>
          <t>25 mm</t>
        </is>
      </c>
      <c r="C14" s="27" t="n">
        <v>1</v>
      </c>
      <c r="D14" s="53" t="n">
        <v>38.2</v>
      </c>
      <c r="E14" s="29" t="n">
        <v>493</v>
      </c>
      <c r="F14" s="29" t="n">
        <v>194</v>
      </c>
      <c r="G14" s="62" t="n">
        <v>0</v>
      </c>
      <c r="H14" s="29" t="n"/>
      <c r="I14" s="27">
        <f>IF(OR(E14="",F14="",F14=0),"",IF(G14&gt;0,"reduce light",ROUND(E14*210/F14/21.3,0)*21.3))</f>
        <v/>
      </c>
      <c r="J14" s="29" t="n">
        <v>739</v>
      </c>
      <c r="K14" s="29" t="n">
        <v>1018</v>
      </c>
      <c r="L14" s="29" t="n">
        <v>1</v>
      </c>
      <c r="M14" s="31" t="n">
        <v>1</v>
      </c>
      <c r="N14" s="26">
        <f>IF(OR(L14="",M14=""),"",IF(AND(L14=1,M14&gt;=0.9,M14&lt;=1.1),"pass","FAIL"))</f>
        <v/>
      </c>
      <c r="O14" s="63" t="n">
        <v>0.0237</v>
      </c>
      <c r="P14" s="63" t="n">
        <v>0.0319</v>
      </c>
      <c r="Q14" s="64">
        <f>IF(OR(O14="",P14=""),"",SQRT(0.5*(O14^2+P14^2)))</f>
        <v/>
      </c>
      <c r="R14" s="53">
        <f>IF(OR(O14="",P14="",O14=0),"",P14/O14)</f>
        <v/>
      </c>
      <c r="S14" s="34" t="inlineStr">
        <is>
          <t>Exposure_uS = 493</t>
        </is>
      </c>
    </row>
    <row r="15">
      <c r="A15" s="25" t="inlineStr">
        <is>
          <t>XL</t>
        </is>
      </c>
      <c r="B15" s="26" t="inlineStr">
        <is>
          <t>25 mm</t>
        </is>
      </c>
      <c r="C15" s="27" t="n">
        <v>1</v>
      </c>
      <c r="D15" s="53" t="n">
        <v>21.7</v>
      </c>
      <c r="E15" s="29" t="n">
        <v>686</v>
      </c>
      <c r="F15" s="29" t="n">
        <v>143</v>
      </c>
      <c r="G15" s="62" t="n">
        <v>0</v>
      </c>
      <c r="H15" s="29" t="n"/>
      <c r="I15" s="27">
        <f>IF(OR(E15="",F15="",F15=0),"",IF(G15&gt;0,"reduce light",ROUND(E15*210/F15/21.3,0)*21.3))</f>
        <v/>
      </c>
      <c r="J15" s="29" t="n">
        <v>444</v>
      </c>
      <c r="K15" s="29" t="n">
        <v>639</v>
      </c>
      <c r="L15" s="29" t="n">
        <v>1</v>
      </c>
      <c r="M15" s="31" t="n">
        <v>1</v>
      </c>
      <c r="N15" s="26">
        <f>IF(OR(L15="",M15=""),"",IF(AND(L15=1,M15&gt;=0.9,M15&lt;=1.1),"pass","FAIL"))</f>
        <v/>
      </c>
      <c r="O15" s="63" t="n">
        <v>0.0294</v>
      </c>
      <c r="P15" s="63" t="n">
        <v>0.0287</v>
      </c>
      <c r="Q15" s="64">
        <f>IF(OR(O15="",P15=""),"",SQRT(0.5*(O15^2+P15^2)))</f>
        <v/>
      </c>
      <c r="R15" s="53">
        <f>IF(OR(O15="",P15="",O15=0),"",P15/O15)</f>
        <v/>
      </c>
      <c r="S15" s="34" t="inlineStr">
        <is>
          <t>Exposure_uS = 686</t>
        </is>
      </c>
    </row>
    <row r="16">
      <c r="A16" s="25" t="inlineStr">
        <is>
          <t>Kingbright</t>
        </is>
      </c>
      <c r="B16" s="26" t="inlineStr">
        <is>
          <t>25 mm</t>
        </is>
      </c>
      <c r="C16" s="27" t="n">
        <v>1</v>
      </c>
      <c r="D16" s="53" t="n">
        <v>38.2</v>
      </c>
      <c r="E16" s="29" t="n">
        <v>128</v>
      </c>
      <c r="F16" s="29" t="n">
        <v>248</v>
      </c>
      <c r="G16" s="62" t="n">
        <v>5.3</v>
      </c>
      <c r="H16" s="29" t="n">
        <v>124</v>
      </c>
      <c r="I16" s="27">
        <f>IF(OR(E16="",F16="",F16=0),"",IF(G16&gt;0,"reduce light",ROUND(E16*210/F16/21.3,0)*21.3))</f>
        <v/>
      </c>
      <c r="J16" s="29" t="n">
        <v>163</v>
      </c>
      <c r="K16" s="29" t="n">
        <v>282</v>
      </c>
      <c r="L16" s="29" t="n">
        <v>1</v>
      </c>
      <c r="M16" s="31" t="n">
        <v>1</v>
      </c>
      <c r="N16" s="26">
        <f>IF(OR(L16="",M16=""),"",IF(AND(L16=1,M16&gt;=0.9,M16&lt;=1.1),"pass","FAIL"))</f>
        <v/>
      </c>
      <c r="O16" s="63" t="n">
        <v>0.0712</v>
      </c>
      <c r="P16" s="63" t="n">
        <v>3.5417</v>
      </c>
      <c r="Q16" s="64">
        <f>IF(OR(O16="",P16=""),"",SQRT(0.5*(O16^2+P16^2)))</f>
        <v/>
      </c>
      <c r="R16" s="53">
        <f>IF(OR(O16="",P16="",O16=0),"",P16/O16)</f>
        <v/>
      </c>
      <c r="S16" s="34" t="inlineStr">
        <is>
          <t>Exposure_uS = 128, Couldn't get it to be unsaturated: saturated 124/200 frames</t>
        </is>
      </c>
    </row>
  </sheetData>
  <pageMargins left="0.75" right="0.75" top="1" bottom="1" header="0.5" footer="0.5"/>
</worksheet>
</file>

<file path=xl/worksheets/sheet4.xml><?xml version="1.0" encoding="utf-8"?>
<worksheet xmlns="http://schemas.openxmlformats.org/spreadsheetml/2006/main">
  <sheetPr>
    <tabColor rgb="FF808080"/>
    <outlinePr summaryBelow="1" summaryRight="1"/>
    <pageSetUpPr/>
  </sheetPr>
  <dimension ref="A1:U16"/>
  <sheetViews>
    <sheetView showGridLines="0" workbookViewId="0">
      <selection activeCell="A1" sqref="A1"/>
    </sheetView>
  </sheetViews>
  <sheetFormatPr baseColWidth="8" defaultRowHeight="15"/>
  <cols>
    <col width="13" customWidth="1" min="1" max="1"/>
    <col width="11" customWidth="1" min="2" max="2"/>
    <col width="9" customWidth="1" min="3" max="3"/>
    <col width="9" customWidth="1" min="4" max="4"/>
    <col width="10" customWidth="1" min="5" max="5"/>
    <col width="10" customWidth="1" min="6" max="6"/>
    <col width="9" customWidth="1" min="7" max="7"/>
    <col width="9" customWidth="1" min="8" max="8"/>
    <col width="10" customWidth="1" min="9" max="9"/>
    <col width="13" customWidth="1" min="10" max="10"/>
    <col width="12" customWidth="1" min="11" max="11"/>
    <col width="11" customWidth="1" min="12" max="12"/>
    <col width="11" customWidth="1" min="13" max="13"/>
    <col width="11" customWidth="1" min="14" max="14"/>
    <col width="9" customWidth="1" min="15" max="15"/>
    <col width="11" customWidth="1" min="16" max="16"/>
    <col width="11" customWidth="1" min="17" max="17"/>
    <col width="12" customWidth="1" min="18" max="18"/>
    <col width="12" customWidth="1" min="19" max="19"/>
    <col width="46" customWidth="1" min="20" max="20"/>
    <col width="12" customWidth="1" min="21" max="21"/>
  </cols>
  <sheetData>
    <row r="1">
      <c r="A1" s="65" t="inlineStr">
        <is>
          <t>RUN 2 - 4 m, 0.2 mm wall, 2026-08-30</t>
        </is>
      </c>
    </row>
    <row r="2">
      <c r="A2" s="66" t="inlineStr">
        <is>
          <t>Complete 12-row set and the source of every conclusion in NOTES.md. Superseded only because the rig was packed up afterwards, so distance and focus will differ on rebuild - exposure and area are not comparable across a teardown. Sigma and fill should be.</t>
        </is>
      </c>
    </row>
    <row r="3" ht="30" customHeight="1">
      <c r="A3" s="8" t="inlineStr">
        <is>
          <t>LED Type</t>
        </is>
      </c>
      <c r="B3" s="8" t="inlineStr">
        <is>
          <t>Build</t>
        </is>
      </c>
      <c r="C3" s="8" t="inlineStr">
        <is>
          <t>Sample</t>
        </is>
      </c>
      <c r="D3" s="8" t="inlineStr">
        <is>
          <t>Distance
(m)</t>
        </is>
      </c>
      <c r="E3" s="8" t="inlineStr">
        <is>
          <t>Drive I
(mA)</t>
        </is>
      </c>
      <c r="F3" s="8" t="inlineStr">
        <is>
          <t>Exposure
(us)</t>
        </is>
      </c>
      <c r="G3" s="8" t="inlineStr">
        <is>
          <t>Peak
(0-255)</t>
        </is>
      </c>
      <c r="H3" s="8" t="inlineStr">
        <is>
          <t>Sat px</t>
        </is>
      </c>
      <c r="I3" s="8" t="inlineStr">
        <is>
          <t>Frames sat
(of 200)</t>
        </is>
      </c>
      <c r="J3" s="8" t="inlineStr">
        <is>
          <t>Next exposure
(us, aim 210)</t>
        </is>
      </c>
      <c r="K3" s="8" t="inlineStr">
        <is>
          <t>Sensor area
(px)</t>
        </is>
      </c>
      <c r="L3" s="8" t="inlineStr">
        <is>
          <t>npix
(refined)</t>
        </is>
      </c>
      <c r="M3" s="8" t="inlineStr">
        <is>
          <t>blobs
(must be 1)</t>
        </is>
      </c>
      <c r="N3" s="8" t="inlineStr">
        <is>
          <t>w/h
(want ~1.00)</t>
        </is>
      </c>
      <c r="O3" s="8" t="inlineStr">
        <is>
          <t>Blend
gate</t>
        </is>
      </c>
      <c r="P3" s="8" t="inlineStr">
        <is>
          <t>sigma_u
(px)</t>
        </is>
      </c>
      <c r="Q3" s="8" t="inlineStr">
        <is>
          <t>sigma_v
(px)</t>
        </is>
      </c>
      <c r="R3" s="8" t="inlineStr">
        <is>
          <t>sigma_RMS
(px)</t>
        </is>
      </c>
      <c r="S3" s="8" t="inlineStr">
        <is>
          <t>sig_v/sig_u
(&gt;3 = suspect)</t>
        </is>
      </c>
      <c r="T3" s="8" t="inlineStr">
        <is>
          <t>Notes</t>
        </is>
      </c>
      <c r="U3" s="8" t="inlineStr">
        <is>
          <t>Fill
(centre/rim)</t>
        </is>
      </c>
    </row>
    <row r="4">
      <c r="A4" s="9" t="inlineStr">
        <is>
          <t>EXAMPLE</t>
        </is>
      </c>
      <c r="B4" s="10" t="inlineStr">
        <is>
          <t>20 mm</t>
        </is>
      </c>
      <c r="C4" s="11" t="n">
        <v>1</v>
      </c>
      <c r="E4" s="54" t="n">
        <v>38.2</v>
      </c>
      <c r="F4" s="11" t="n">
        <v>386</v>
      </c>
      <c r="G4" s="11" t="n">
        <v>218</v>
      </c>
      <c r="H4" s="11" t="n">
        <v>0</v>
      </c>
      <c r="I4" s="11" t="n">
        <v>0</v>
      </c>
      <c r="J4" s="11">
        <f>IF(OR(F4="",G4="",G4=0),"",IF(H4&gt;0,"reduce light",ROUND(F4*210/G4/21.3,0)*21.3))</f>
        <v/>
      </c>
      <c r="K4" s="11" t="n">
        <v>984</v>
      </c>
      <c r="L4" s="11" t="n">
        <v>962</v>
      </c>
      <c r="M4" s="11" t="n">
        <v>1</v>
      </c>
      <c r="N4" s="13" t="n">
        <v>1.03</v>
      </c>
      <c r="O4" s="10">
        <f>IF(OR(M4="",N4="",U4=""),"",IF(AND(M4=1,N4&gt;=0.9,N4&lt;=1.1,U4&gt;=0.85),"pass","FAIL"))</f>
        <v/>
      </c>
      <c r="P4" s="55" t="n">
        <v>0.0298</v>
      </c>
      <c r="Q4" s="55" t="n">
        <v>0.0271</v>
      </c>
      <c r="R4" s="55">
        <f>IF(OR(P4="",Q4=""),"",SQRT(0.5*(P4^2+Q4^2)))</f>
        <v/>
      </c>
      <c r="S4" s="54">
        <f>IF(OR(P4="",Q4="",P4=0),"",Q4/P4)</f>
        <v/>
      </c>
      <c r="T4" s="9" t="inlineStr">
        <is>
          <t>peak in band, blend passes</t>
        </is>
      </c>
      <c r="U4" s="13" t="n"/>
    </row>
    <row r="5">
      <c r="A5" s="15" t="inlineStr">
        <is>
          <t>Vishay</t>
        </is>
      </c>
      <c r="B5" s="16" t="inlineStr">
        <is>
          <t>bare (ref)</t>
        </is>
      </c>
      <c r="C5" s="17" t="n">
        <v>1</v>
      </c>
      <c r="D5" s="56" t="n">
        <v>4</v>
      </c>
      <c r="E5" s="57" t="n">
        <v>78.8</v>
      </c>
      <c r="F5" s="19" t="n">
        <v>53</v>
      </c>
      <c r="G5" s="19" t="n">
        <v>255</v>
      </c>
      <c r="H5" s="58" t="n">
        <v>18.7</v>
      </c>
      <c r="I5" s="19" t="n">
        <v>200</v>
      </c>
      <c r="J5" s="17">
        <f>IF(OR(F5="",G5="",G5=0),"",IF(H5&gt;0,"reduce light",ROUND(F5*210/G5/21.3,0)*21.3))</f>
        <v/>
      </c>
      <c r="K5" s="19" t="n">
        <v>56</v>
      </c>
      <c r="L5" s="19" t="n">
        <v>97</v>
      </c>
      <c r="M5" s="19" t="n">
        <v>8</v>
      </c>
      <c r="N5" s="21" t="n">
        <v>8.199999999999999</v>
      </c>
      <c r="O5" s="16">
        <f>IF(OR(M5="",N5="",U5=""),"",IF(AND(M5=1,N5&gt;=0.9,N5&lt;=1.1,U5&gt;=0.85),"pass","FAIL"))</f>
        <v/>
      </c>
      <c r="P5" s="59" t="n"/>
      <c r="Q5" s="59" t="n"/>
      <c r="R5" s="60">
        <f>IF(OR(P5="",Q5=""),"",SQRT(0.5*(P5^2+Q5^2)))</f>
        <v/>
      </c>
      <c r="S5" s="57">
        <f>IF(OR(P5="",Q5="",P5=0),"",Q5/P5)</f>
        <v/>
      </c>
      <c r="T5" s="69" t="inlineStr">
        <is>
          <t>VOID - no in-band exposure exists at 4 m. 17 us -&gt; peak below THRESH_LO, 53 us -&gt; clipped in 200/200 frames. Clipping bands alternate rows, which split the disc into 8 blobs; the largest is a 56 px sliver. sigma on that sliver read 0.0678/0.0240 - plausible-looking and meaningless, so it is NOT entered. Needs ~4x attenuation: 120 ohm in place of 33 ohm.</t>
        </is>
      </c>
      <c r="U5" s="21" t="n"/>
    </row>
    <row r="6">
      <c r="A6" s="25" t="inlineStr">
        <is>
          <t>Everlight</t>
        </is>
      </c>
      <c r="B6" s="26" t="inlineStr">
        <is>
          <t>bare (ref)</t>
        </is>
      </c>
      <c r="C6" s="27" t="n">
        <v>1</v>
      </c>
      <c r="D6" s="61" t="n">
        <v>4</v>
      </c>
      <c r="E6" s="53" t="n">
        <v>38.2</v>
      </c>
      <c r="F6" s="29" t="n">
        <v>521</v>
      </c>
      <c r="G6" s="29" t="n">
        <v>204.7</v>
      </c>
      <c r="H6" s="62" t="n">
        <v>0</v>
      </c>
      <c r="I6" s="29" t="n">
        <v>0</v>
      </c>
      <c r="J6" s="27">
        <f>IF(OR(F6="",G6="",G6=0),"",IF(H6&gt;0,"reduce light",ROUND(F6*210/G6/21.3,0)*21.3))</f>
        <v/>
      </c>
      <c r="K6" s="29" t="n">
        <v>406</v>
      </c>
      <c r="L6" s="29" t="n">
        <v>608</v>
      </c>
      <c r="M6" s="29" t="n">
        <v>1</v>
      </c>
      <c r="N6" s="31" t="n">
        <v>1.02</v>
      </c>
      <c r="O6" s="26">
        <f>IF(OR(M6="",N6="",U6=""),"",IF(AND(M6=1,N6&gt;=0.9,N6&lt;=1.1,U6&gt;=0.85),"pass","FAIL"))</f>
        <v/>
      </c>
      <c r="P6" s="63" t="n">
        <v>0.0341</v>
      </c>
      <c r="Q6" s="63" t="n">
        <v>0.0354</v>
      </c>
      <c r="R6" s="64">
        <f>IF(OR(P6="",Q6=""),"",SQRT(0.5*(P6^2+Q6^2)))</f>
        <v/>
      </c>
      <c r="S6" s="53">
        <f>IF(OR(P6="",Q6="",P6=0),"",Q6/P6)</f>
        <v/>
      </c>
      <c r="T6" s="34" t="inlineStr">
        <is>
          <t>peak 204.7 (max 220), sat 0, blend pass, sig_v/sig_u 1.04</t>
        </is>
      </c>
      <c r="U6" s="31" t="n"/>
    </row>
    <row r="7">
      <c r="A7" s="25" t="inlineStr">
        <is>
          <t>XL</t>
        </is>
      </c>
      <c r="B7" s="26" t="inlineStr">
        <is>
          <t>bare (ref)</t>
        </is>
      </c>
      <c r="C7" s="27" t="n">
        <v>1</v>
      </c>
      <c r="D7" s="61" t="n">
        <v>4</v>
      </c>
      <c r="E7" s="53" t="n">
        <v>21.7</v>
      </c>
      <c r="F7" s="29" t="n">
        <v>1707</v>
      </c>
      <c r="G7" s="29" t="n">
        <v>207.4</v>
      </c>
      <c r="H7" s="62" t="n">
        <v>0</v>
      </c>
      <c r="I7" s="29" t="n">
        <v>0</v>
      </c>
      <c r="J7" s="27">
        <f>IF(OR(F7="",G7="",G7=0),"",IF(H7&gt;0,"reduce light",ROUND(F7*210/G7/21.3,0)*21.3))</f>
        <v/>
      </c>
      <c r="K7" s="29" t="n">
        <v>506</v>
      </c>
      <c r="L7" s="29" t="n">
        <v>656</v>
      </c>
      <c r="M7" s="29" t="n">
        <v>3</v>
      </c>
      <c r="N7" s="31" t="n">
        <v>1</v>
      </c>
      <c r="O7" s="26">
        <f>IF(OR(M7="",N7="",U7=""),"",IF(AND(M7=1,N7&gt;=0.9,N7&lt;=1.1,U7&gt;=0.85),"pass","FAIL"))</f>
        <v/>
      </c>
      <c r="P7" s="63" t="n">
        <v>0.0249</v>
      </c>
      <c r="Q7" s="63" t="n">
        <v>0.0285</v>
      </c>
      <c r="R7" s="64">
        <f>IF(OR(P7="",Q7=""),"",SQRT(0.5*(P7^2+Q7^2)))</f>
        <v/>
      </c>
      <c r="S7" s="53">
        <f>IF(OR(P7="",Q7="",P7=0),"",Q7/P7)</f>
        <v/>
      </c>
      <c r="T7" s="35" t="inlineStr">
        <is>
          <t>Bare: blobs 3 / fill 0.61 is the RAW cluster resolving into separate LEDs, which is expected with no diffuser - not a build fault. The blend gate only means something on a diffused row.  peak 207.4 (max 226), sat 0, blend FAIL, sig_v/sig_u 1.14</t>
        </is>
      </c>
      <c r="U7" s="31" t="n">
        <v>0.61</v>
      </c>
    </row>
    <row r="8">
      <c r="A8" s="25" t="inlineStr">
        <is>
          <t>Kingbright</t>
        </is>
      </c>
      <c r="B8" s="26" t="inlineStr">
        <is>
          <t>bare (ref)</t>
        </is>
      </c>
      <c r="C8" s="27" t="n">
        <v>1</v>
      </c>
      <c r="D8" s="61" t="n">
        <v>4</v>
      </c>
      <c r="E8" s="53" t="n">
        <v>38.2</v>
      </c>
      <c r="F8" s="29" t="n">
        <v>53</v>
      </c>
      <c r="G8" s="29" t="n">
        <v>255</v>
      </c>
      <c r="H8" s="62" t="n">
        <v>16.8</v>
      </c>
      <c r="I8" s="29" t="n">
        <v>200</v>
      </c>
      <c r="J8" s="27">
        <f>IF(OR(F8="",G8="",G8=0),"",IF(H8&gt;0,"reduce light",ROUND(F8*210/G8/21.3,0)*21.3))</f>
        <v/>
      </c>
      <c r="K8" s="29" t="n">
        <v>47</v>
      </c>
      <c r="L8" s="29" t="n">
        <v>85</v>
      </c>
      <c r="M8" s="29" t="n">
        <v>8</v>
      </c>
      <c r="N8" s="31" t="n">
        <v>7.98</v>
      </c>
      <c r="O8" s="26">
        <f>IF(OR(M8="",N8="",U8=""),"",IF(AND(M8=1,N8&gt;=0.9,N8&lt;=1.1,U8&gt;=0.85),"pass","FAIL"))</f>
        <v/>
      </c>
      <c r="P8" s="63" t="n"/>
      <c r="Q8" s="63" t="n"/>
      <c r="R8" s="64">
        <f>IF(OR(P8="",Q8=""),"",SQRT(0.5*(P8^2+Q8^2)))</f>
        <v/>
      </c>
      <c r="S8" s="53">
        <f>IF(OR(P8="",Q8="",P8=0),"",Q8/P8)</f>
        <v/>
      </c>
      <c r="T8" s="70" t="inlineStr">
        <is>
          <t>VOID - same failure as Vishay bare: 17 us leaves the blob below THRESH_LO, 35 us clips. Clipped in 200/200 frames, split into 8 banded slivers (w/h 7.98). Sigma NOT entered. Very bright part: needs Vishay-like exposure at HALF the current.  peak 255.0 (max 255), sat 16.8, blend FAIL, sig_v/sig_u 0.19</t>
        </is>
      </c>
      <c r="U8" s="31" t="n">
        <v>1.8</v>
      </c>
    </row>
    <row r="9">
      <c r="A9" s="15" t="inlineStr">
        <is>
          <t>Vishay</t>
        </is>
      </c>
      <c r="B9" s="16" t="inlineStr">
        <is>
          <t>20 mm</t>
        </is>
      </c>
      <c r="C9" s="17" t="n">
        <v>1</v>
      </c>
      <c r="D9" s="56" t="n">
        <v>4</v>
      </c>
      <c r="E9" s="57" t="n">
        <v>78.8</v>
      </c>
      <c r="F9" s="19" t="n">
        <v>323</v>
      </c>
      <c r="G9" s="19" t="n">
        <v>201.4</v>
      </c>
      <c r="H9" s="58" t="n">
        <v>0</v>
      </c>
      <c r="I9" s="19" t="n">
        <v>0</v>
      </c>
      <c r="J9" s="17">
        <f>IF(OR(F9="",G9="",G9=0),"",IF(H9&gt;0,"reduce light",ROUND(F9*210/G9/21.3,0)*21.3))</f>
        <v/>
      </c>
      <c r="K9" s="19" t="n">
        <v>569</v>
      </c>
      <c r="L9" s="19" t="n">
        <v>680</v>
      </c>
      <c r="M9" s="19" t="n">
        <v>1</v>
      </c>
      <c r="N9" s="21" t="n">
        <v>1</v>
      </c>
      <c r="O9" s="16">
        <f>IF(OR(M9="",N9="",U9=""),"",IF(AND(M9=1,N9&gt;=0.9,N9&lt;=1.1,U9&gt;=0.85),"pass","FAIL"))</f>
        <v/>
      </c>
      <c r="P9" s="59" t="n">
        <v>0.0263</v>
      </c>
      <c r="Q9" s="59" t="n">
        <v>0.029</v>
      </c>
      <c r="R9" s="60">
        <f>IF(OR(P9="",Q9=""),"",SQRT(0.5*(P9^2+Q9^2)))</f>
        <v/>
      </c>
      <c r="S9" s="57">
        <f>IF(OR(P9="",Q9="",P9=0),"",Q9/P9)</f>
        <v/>
      </c>
      <c r="T9" s="24" t="inlineStr">
        <is>
          <t>NOT BLENDING - images as a RING: centre only 67% of rim brightness. One connected round blob, so blobs and w/h both pass; only fill catches it.  peak 201.4 (max 218), sat 0, blend FAIL, sig_v/sig_u 1.10</t>
        </is>
      </c>
      <c r="U9" s="21" t="n">
        <v>0.67</v>
      </c>
    </row>
    <row r="10">
      <c r="A10" s="25" t="inlineStr">
        <is>
          <t>Everlight</t>
        </is>
      </c>
      <c r="B10" s="26" t="inlineStr">
        <is>
          <t>20 mm</t>
        </is>
      </c>
      <c r="C10" s="27" t="n">
        <v>1</v>
      </c>
      <c r="D10" s="61" t="n">
        <v>4</v>
      </c>
      <c r="E10" s="53" t="n">
        <v>38.2</v>
      </c>
      <c r="F10" s="29" t="n">
        <v>2588</v>
      </c>
      <c r="G10" s="29" t="n">
        <v>208.5</v>
      </c>
      <c r="H10" s="62" t="n">
        <v>0</v>
      </c>
      <c r="I10" s="29" t="n">
        <v>0</v>
      </c>
      <c r="J10" s="27">
        <f>IF(OR(F10="",G10="",G10=0),"",IF(H10&gt;0,"reduce light",ROUND(F10*210/G10/21.3,0)*21.3))</f>
        <v/>
      </c>
      <c r="K10" s="29" t="n">
        <v>752</v>
      </c>
      <c r="L10" s="29" t="n">
        <v>857</v>
      </c>
      <c r="M10" s="29" t="n">
        <v>1</v>
      </c>
      <c r="N10" s="31" t="n">
        <v>0.98</v>
      </c>
      <c r="O10" s="26">
        <f>IF(OR(M10="",N10="",U10=""),"",IF(AND(M10=1,N10&gt;=0.9,N10&lt;=1.1,U10&gt;=0.85),"pass","FAIL"))</f>
        <v/>
      </c>
      <c r="P10" s="63" t="n">
        <v>0.0173</v>
      </c>
      <c r="Q10" s="63" t="n">
        <v>0.016</v>
      </c>
      <c r="R10" s="64">
        <f>IF(OR(P10="",Q10=""),"",SQRT(0.5*(P10^2+Q10^2)))</f>
        <v/>
      </c>
      <c r="S10" s="53">
        <f>IF(OR(P10="",Q10="",P10=0),"",Q10/P10)</f>
        <v/>
      </c>
      <c r="T10" s="34" t="inlineStr">
        <is>
          <t>PROVISIONAL - diffuser was cracked; reprint and re-measure. Blob stayed round (w/h 0.98, 1 blob) so the crack did not leak a hot spot.  peak 208.5 (max 229), sat 0, blend pass, sig_v/sig_u 0.92</t>
        </is>
      </c>
      <c r="U10" s="31" t="n"/>
    </row>
    <row r="11">
      <c r="A11" s="25" t="inlineStr">
        <is>
          <t>XL</t>
        </is>
      </c>
      <c r="B11" s="26" t="inlineStr">
        <is>
          <t>20 mm</t>
        </is>
      </c>
      <c r="C11" s="27" t="n">
        <v>1</v>
      </c>
      <c r="D11" s="61" t="n">
        <v>4</v>
      </c>
      <c r="E11" s="53" t="n">
        <v>21.7</v>
      </c>
      <c r="F11" s="29" t="n">
        <v>5985</v>
      </c>
      <c r="G11" s="29" t="n">
        <v>218</v>
      </c>
      <c r="H11" s="62" t="n">
        <v>0</v>
      </c>
      <c r="I11" s="29" t="n">
        <v>0</v>
      </c>
      <c r="J11" s="27">
        <f>IF(OR(F11="",G11="",G11=0),"",IF(H11&gt;0,"reduce light",ROUND(F11*210/G11/21.3,0)*21.3))</f>
        <v/>
      </c>
      <c r="K11" s="29" t="n">
        <v>823</v>
      </c>
      <c r="L11" s="29" t="n">
        <v>923</v>
      </c>
      <c r="M11" s="29" t="n">
        <v>1</v>
      </c>
      <c r="N11" s="31" t="n">
        <v>1</v>
      </c>
      <c r="O11" s="26">
        <f>IF(OR(M11="",N11="",U11=""),"",IF(AND(M11=1,N11&gt;=0.9,N11&lt;=1.1,U11&gt;=0.85),"pass","FAIL"))</f>
        <v/>
      </c>
      <c r="P11" s="63" t="n">
        <v>0.015</v>
      </c>
      <c r="Q11" s="63" t="n">
        <v>0.022</v>
      </c>
      <c r="R11" s="64">
        <f>IF(OR(P11="",Q11=""),"",SQRT(0.5*(P11^2+Q11^2)))</f>
        <v/>
      </c>
      <c r="S11" s="53">
        <f>IF(OR(P11="",Q11="",P11=0),"",Q11/P11)</f>
        <v/>
      </c>
      <c r="T11" s="34" t="inlineStr">
        <is>
          <t>Best blend measured: fill 0.99, essentially uniform. Targeted first try. Cost is 5985 us = ~18 px smear at 3000 px/s.  peak 218.0 (max 231), sat 0, blend pass, sig_v/sig_u 1.47</t>
        </is>
      </c>
      <c r="U11" s="31" t="n">
        <v>0.99</v>
      </c>
    </row>
    <row r="12">
      <c r="A12" s="25" t="inlineStr">
        <is>
          <t>Kingbright</t>
        </is>
      </c>
      <c r="B12" s="26" t="inlineStr">
        <is>
          <t>20 mm</t>
        </is>
      </c>
      <c r="C12" s="27" t="n">
        <v>1</v>
      </c>
      <c r="D12" s="61" t="n">
        <v>4</v>
      </c>
      <c r="E12" s="53" t="n">
        <v>38.2</v>
      </c>
      <c r="F12" s="29" t="n">
        <v>1096</v>
      </c>
      <c r="G12" s="29" t="n">
        <v>199.1</v>
      </c>
      <c r="H12" s="62" t="n">
        <v>0</v>
      </c>
      <c r="I12" s="29" t="n">
        <v>0</v>
      </c>
      <c r="J12" s="27">
        <f>IF(OR(F12="",G12="",G12=0),"",IF(H12&gt;0,"reduce light",ROUND(F12*210/G12/21.3,0)*21.3))</f>
        <v/>
      </c>
      <c r="K12" s="29" t="n">
        <v>683</v>
      </c>
      <c r="L12" s="29" t="n">
        <v>773</v>
      </c>
      <c r="M12" s="29" t="n">
        <v>1</v>
      </c>
      <c r="N12" s="31" t="n">
        <v>0.99</v>
      </c>
      <c r="O12" s="26">
        <f>IF(OR(M12="",N12="",U12=""),"",IF(AND(M12=1,N12&gt;=0.9,N12&lt;=1.1,U12&gt;=0.85),"pass","FAIL"))</f>
        <v/>
      </c>
      <c r="P12" s="63" t="n">
        <v>0.024</v>
      </c>
      <c r="Q12" s="63" t="n">
        <v>0.022</v>
      </c>
      <c r="R12" s="64">
        <f>IF(OR(P12="",Q12=""),"",SQRT(0.5*(P12^2+Q12^2)))</f>
        <v/>
      </c>
      <c r="S12" s="53">
        <f>IF(OR(P12="",Q12="",P12=0),"",Q12/P12)</f>
        <v/>
      </c>
      <c r="T12" s="34" t="inlineStr">
        <is>
          <t>Rings (fill 0.77) but less than Vishay. Measured 3x independently at 898/970/1096 us: sigma_RMS 0.0245 / 0.0234 / 0.0230, fill 0.73/0.74/0.77 - so run-to-run repeatability is ~3%, and differences under ~5% between builds are not significant.  peak 199.1 (max 215), sat 0, blend FAIL, sig_v/sig_u 0.92</t>
        </is>
      </c>
      <c r="U12" s="31" t="n">
        <v>0.77</v>
      </c>
    </row>
    <row r="13">
      <c r="A13" s="15" t="inlineStr">
        <is>
          <t>Vishay</t>
        </is>
      </c>
      <c r="B13" s="16" t="inlineStr">
        <is>
          <t>25 mm</t>
        </is>
      </c>
      <c r="C13" s="17" t="n">
        <v>1</v>
      </c>
      <c r="D13" s="56" t="n">
        <v>4</v>
      </c>
      <c r="E13" s="57" t="n">
        <v>78.8</v>
      </c>
      <c r="F13" s="19" t="n">
        <v>251</v>
      </c>
      <c r="G13" s="19" t="n">
        <v>209.5</v>
      </c>
      <c r="H13" s="58" t="n">
        <v>0</v>
      </c>
      <c r="I13" s="19" t="n">
        <v>0</v>
      </c>
      <c r="J13" s="17">
        <f>IF(OR(F13="",G13="",G13=0),"",IF(H13&gt;0,"reduce light",ROUND(F13*210/G13/21.3,0)*21.3))</f>
        <v/>
      </c>
      <c r="K13" s="19" t="n">
        <v>516</v>
      </c>
      <c r="L13" s="19" t="n">
        <v>662</v>
      </c>
      <c r="M13" s="19" t="n">
        <v>1</v>
      </c>
      <c r="N13" s="21" t="n">
        <v>1</v>
      </c>
      <c r="O13" s="16">
        <f>IF(OR(M13="",N13="",U13=""),"",IF(AND(M13=1,N13&gt;=0.9,N13&lt;=1.1,U13&gt;=0.85),"pass","FAIL"))</f>
        <v/>
      </c>
      <c r="P13" s="59" t="n">
        <v>0.0306</v>
      </c>
      <c r="Q13" s="59" t="n">
        <v>0.0358</v>
      </c>
      <c r="R13" s="60">
        <f>IF(OR(P13="",Q13=""),"",SQRT(0.5*(P13^2+Q13^2)))</f>
        <v/>
      </c>
      <c r="S13" s="57">
        <f>IF(OR(P13="",Q13="",P13=0),"",Q13/P13)</f>
        <v/>
      </c>
      <c r="T13" s="24" t="inlineStr">
        <is>
          <t>NOT BLENDING - still a ring (fill 0.69). The larger shell did NOT fix it, so the ring is the LED beam pattern, not the diameter. Needs less exposure and gives LESS area than the 20 mm, which is backwards - check the two caps are the same material, wall thickness and infill.  peak 209.5 (max 223), sat 0, blend FAIL, sig_v/sig_u 1.17</t>
        </is>
      </c>
      <c r="U13" s="21" t="n">
        <v>0.6899999999999999</v>
      </c>
    </row>
    <row r="14">
      <c r="A14" s="25" t="inlineStr">
        <is>
          <t>Everlight</t>
        </is>
      </c>
      <c r="B14" s="26" t="inlineStr">
        <is>
          <t>25 mm</t>
        </is>
      </c>
      <c r="C14" s="27" t="n">
        <v>1</v>
      </c>
      <c r="D14" s="61" t="n">
        <v>4</v>
      </c>
      <c r="E14" s="53" t="n">
        <v>38.2</v>
      </c>
      <c r="F14" s="29" t="n">
        <v>2983</v>
      </c>
      <c r="G14" s="29" t="n">
        <v>217.4</v>
      </c>
      <c r="H14" s="62" t="n">
        <v>0</v>
      </c>
      <c r="I14" s="29" t="n">
        <v>0</v>
      </c>
      <c r="J14" s="27">
        <f>IF(OR(F14="",G14="",G14=0),"",IF(H14&gt;0,"reduce light",ROUND(F14*210/G14/21.3,0)*21.3))</f>
        <v/>
      </c>
      <c r="K14" s="29" t="n">
        <v>845</v>
      </c>
      <c r="L14" s="29" t="n">
        <v>960</v>
      </c>
      <c r="M14" s="29" t="n">
        <v>1</v>
      </c>
      <c r="N14" s="31" t="n">
        <v>0.97</v>
      </c>
      <c r="O14" s="26">
        <f>IF(OR(M14="",N14="",U14=""),"",IF(AND(M14=1,N14&gt;=0.9,N14&lt;=1.1,U14&gt;=0.85),"pass","FAIL"))</f>
        <v/>
      </c>
      <c r="P14" s="63" t="n">
        <v>0.0176</v>
      </c>
      <c r="Q14" s="63" t="n">
        <v>0.0171</v>
      </c>
      <c r="R14" s="64">
        <f>IF(OR(P14="",Q14=""),"",SQRT(0.5*(P14^2+Q14^2)))</f>
        <v/>
      </c>
      <c r="S14" s="53">
        <f>IF(OR(P14="",Q14="",P14=0),"",Q14/P14)</f>
        <v/>
      </c>
      <c r="T14" s="34" t="inlineStr">
        <is>
          <t>Targeted first try.  peak 217.4 (max 233), sat 0, blend pass, sig_v/sig_u 0.97</t>
        </is>
      </c>
      <c r="U14" s="31" t="n"/>
    </row>
    <row r="15">
      <c r="A15" s="25" t="inlineStr">
        <is>
          <t>XL</t>
        </is>
      </c>
      <c r="B15" s="26" t="inlineStr">
        <is>
          <t>25 mm</t>
        </is>
      </c>
      <c r="C15" s="27" t="n">
        <v>1</v>
      </c>
      <c r="D15" s="61" t="n">
        <v>4</v>
      </c>
      <c r="E15" s="53" t="n">
        <v>21.7</v>
      </c>
      <c r="F15" s="29" t="n">
        <v>6057</v>
      </c>
      <c r="G15" s="29" t="n">
        <v>205.6</v>
      </c>
      <c r="H15" s="62" t="n">
        <v>0</v>
      </c>
      <c r="I15" s="29" t="n">
        <v>0</v>
      </c>
      <c r="J15" s="27">
        <f>IF(OR(F15="",G15="",G15=0),"",IF(H15&gt;0,"reduce light",ROUND(F15*210/G15/21.3,0)*21.3))</f>
        <v/>
      </c>
      <c r="K15" s="29" t="n">
        <v>874</v>
      </c>
      <c r="L15" s="29" t="n">
        <v>1002</v>
      </c>
      <c r="M15" s="29" t="n">
        <v>1</v>
      </c>
      <c r="N15" s="31" t="n">
        <v>1</v>
      </c>
      <c r="O15" s="26">
        <f>IF(OR(M15="",N15="",U15=""),"",IF(AND(M15=1,N15&gt;=0.9,N15&lt;=1.1,U15&gt;=0.85),"pass","FAIL"))</f>
        <v/>
      </c>
      <c r="P15" s="63" t="n">
        <v>0.0165</v>
      </c>
      <c r="Q15" s="63" t="n">
        <v>0.0157</v>
      </c>
      <c r="R15" s="64">
        <f>IF(OR(P15="",Q15=""),"",SQRT(0.5*(P15^2+Q15^2)))</f>
        <v/>
      </c>
      <c r="S15" s="53">
        <f>IF(OR(P15="",Q15="",P15=0),"",Q15/P15)</f>
        <v/>
      </c>
      <c r="T15" s="34" t="inlineStr">
        <is>
          <t>Best optics in the study: lowest sigma, largest area, fill 1.08 (centre slightly brighter than rim), isotropic. Cost is 6057 us = ~18 px smear at 3000 px/s.  peak 205.6 (max 225), sat 0, blend pass, sig_v/sig_u 0.95</t>
        </is>
      </c>
      <c r="U15" s="31" t="n">
        <v>1.08</v>
      </c>
    </row>
    <row r="16">
      <c r="A16" s="25" t="inlineStr">
        <is>
          <t>Kingbright</t>
        </is>
      </c>
      <c r="B16" s="26" t="inlineStr">
        <is>
          <t>25 mm</t>
        </is>
      </c>
      <c r="C16" s="27" t="n">
        <v>1</v>
      </c>
      <c r="D16" s="61" t="n">
        <v>4</v>
      </c>
      <c r="E16" s="53" t="n">
        <v>38.2</v>
      </c>
      <c r="F16" s="29" t="n">
        <v>1186</v>
      </c>
      <c r="G16" s="29" t="n">
        <v>210.4</v>
      </c>
      <c r="H16" s="62" t="n">
        <v>0</v>
      </c>
      <c r="I16" s="29" t="n">
        <v>0</v>
      </c>
      <c r="J16" s="27">
        <f>IF(OR(F16="",G16="",G16=0),"",IF(H16&gt;0,"reduce light",ROUND(F16*210/G16/21.3,0)*21.3))</f>
        <v/>
      </c>
      <c r="K16" s="29" t="n">
        <v>727</v>
      </c>
      <c r="L16" s="29" t="n">
        <v>818</v>
      </c>
      <c r="M16" s="29" t="n">
        <v>1</v>
      </c>
      <c r="N16" s="31" t="n">
        <v>1</v>
      </c>
      <c r="O16" s="26">
        <f>IF(OR(M16="",N16="",U16=""),"",IF(AND(M16=1,N16&gt;=0.9,N16&lt;=1.1,U16&gt;=0.85),"pass","FAIL"))</f>
        <v/>
      </c>
      <c r="P16" s="63" t="n">
        <v>0.015</v>
      </c>
      <c r="Q16" s="63" t="n">
        <v>0.0173</v>
      </c>
      <c r="R16" s="64">
        <f>IF(OR(P16="",Q16=""),"",SQRT(0.5*(P16^2+Q16^2)))</f>
        <v/>
      </c>
      <c r="S16" s="53">
        <f>IF(OR(P16="",Q16="",P16=0),"",Q16/P16)</f>
        <v/>
      </c>
      <c r="T16" s="34" t="inlineStr">
        <is>
          <t>Strongest overall candidate: sigma tied with XL 25 mm for best in the study but at 1186 us instead of 6057 - 5x less smear. Fill 0.82 just misses the 0.85 gate; diameter helped here (0.77 -&gt; 0.82) unlike on Vishay.  peak 210.4 (max 240), sat 0, blend FAIL, sig_v/sig_u 1.15</t>
        </is>
      </c>
      <c r="U16" s="31" t="n">
        <v>0.82</v>
      </c>
    </row>
  </sheetData>
  <pageMargins left="0.75" right="0.75" top="1" bottom="1" header="0.5" footer="0.5"/>
</worksheet>
</file>

<file path=xl/worksheets/sheet5.xml><?xml version="1.0" encoding="utf-8"?>
<worksheet xmlns="http://schemas.openxmlformats.org/spreadsheetml/2006/main">
  <sheetPr>
    <tabColor rgb="FF1F3864"/>
    <outlinePr summaryBelow="1" summaryRight="1"/>
    <pageSetUpPr/>
  </sheetPr>
  <dimension ref="A1:K107"/>
  <sheetViews>
    <sheetView showGridLines="0" workbookViewId="0">
      <pane ySplit="3" topLeftCell="A4" activePane="bottomLeft" state="frozen"/>
      <selection pane="bottomLeft" activeCell="A1" sqref="A1"/>
    </sheetView>
  </sheetViews>
  <sheetFormatPr baseColWidth="10" defaultColWidth="8.83203125" defaultRowHeight="15"/>
  <cols>
    <col width="13" customWidth="1" min="1" max="1"/>
    <col width="11" customWidth="1" min="2" max="2"/>
    <col width="9" customWidth="1" min="3" max="3"/>
    <col width="10" customWidth="1" min="4" max="6"/>
    <col width="12" customWidth="1" min="7" max="8"/>
    <col width="11" customWidth="1" min="9" max="9"/>
    <col width="13" customWidth="1" min="10" max="10"/>
    <col width="34" customWidth="1" min="11" max="11"/>
  </cols>
  <sheetData>
    <row r="1" ht="18" customHeight="1">
      <c r="A1" s="6" t="inlineStr">
        <is>
          <t>TEST B - Angular response (off-axis) and roll (centroid bias)</t>
        </is>
      </c>
    </row>
    <row r="2">
      <c r="A2" s="7" t="inlineStr">
        <is>
          <t>Blue on yellow = fill in.  Black = calculated.  Each diffused marker holds FOUR LEDs in series off 9 V; 'bare (ref)' is a single LED, kept as a reference and never ranked.</t>
        </is>
      </c>
    </row>
    <row r="3" ht="30" customHeight="1">
      <c r="A3" s="8" t="inlineStr">
        <is>
          <t>LED Type</t>
        </is>
      </c>
      <c r="B3" s="8" t="inlineStr">
        <is>
          <t>Build</t>
        </is>
      </c>
      <c r="C3" s="8" t="inlineStr">
        <is>
          <t>Sample</t>
        </is>
      </c>
      <c r="D3" s="8" t="inlineStr">
        <is>
          <t>Angle
(deg)</t>
        </is>
      </c>
      <c r="E3" s="8" t="inlineStr">
        <is>
          <t>Exposure
(us)</t>
        </is>
      </c>
      <c r="F3" s="8" t="inlineStr">
        <is>
          <t>Peak
(0-255)</t>
        </is>
      </c>
      <c r="G3" s="8" t="inlineStr">
        <is>
          <t>Sensor area
(px)</t>
        </is>
      </c>
      <c r="H3" s="8" t="inlineStr">
        <is>
          <t>blobs</t>
        </is>
      </c>
      <c r="I3" s="8" t="inlineStr">
        <is>
          <t>Area vs 0 deg</t>
        </is>
      </c>
      <c r="J3" s="8" t="inlineStr">
        <is>
          <t>Peak vs 0 deg</t>
        </is>
      </c>
      <c r="K3" s="8" t="inlineStr">
        <is>
          <t>Notes</t>
        </is>
      </c>
    </row>
    <row r="4">
      <c r="A4" s="15" t="inlineStr">
        <is>
          <t>Vishay</t>
        </is>
      </c>
      <c r="B4" s="16" t="inlineStr">
        <is>
          <t>bare (ref)</t>
        </is>
      </c>
      <c r="C4" s="17" t="n">
        <v>1</v>
      </c>
      <c r="D4" s="17" t="n">
        <v>0</v>
      </c>
      <c r="E4" s="19" t="n"/>
      <c r="F4" s="19" t="n"/>
      <c r="G4" s="19" t="n"/>
      <c r="H4" s="19" t="n"/>
      <c r="I4" s="67">
        <f>IF(OR(G4="",G$4=""),"",G4/G$4)</f>
        <v/>
      </c>
      <c r="J4" s="67">
        <f>IF(OR(F4="",F$4=""),"",F4/F$4)</f>
        <v/>
      </c>
      <c r="K4" s="24" t="n"/>
    </row>
    <row r="5">
      <c r="A5" s="25" t="inlineStr">
        <is>
          <t>Vishay</t>
        </is>
      </c>
      <c r="B5" s="26" t="inlineStr">
        <is>
          <t>bare (ref)</t>
        </is>
      </c>
      <c r="C5" s="27" t="n">
        <v>1</v>
      </c>
      <c r="D5" s="27" t="n">
        <v>15</v>
      </c>
      <c r="E5" s="29" t="n"/>
      <c r="F5" s="29" t="n"/>
      <c r="G5" s="29" t="n"/>
      <c r="H5" s="29" t="n"/>
      <c r="I5" s="68">
        <f>IF(OR(G5="",G$4=""),"",G5/G$4)</f>
        <v/>
      </c>
      <c r="J5" s="68">
        <f>IF(OR(F5="",F$4=""),"",F5/F$4)</f>
        <v/>
      </c>
      <c r="K5" s="34" t="n"/>
    </row>
    <row r="6">
      <c r="A6" s="25" t="inlineStr">
        <is>
          <t>Vishay</t>
        </is>
      </c>
      <c r="B6" s="26" t="inlineStr">
        <is>
          <t>bare (ref)</t>
        </is>
      </c>
      <c r="C6" s="27" t="n">
        <v>1</v>
      </c>
      <c r="D6" s="27" t="n">
        <v>30</v>
      </c>
      <c r="E6" s="29" t="n"/>
      <c r="F6" s="29" t="n"/>
      <c r="G6" s="29" t="n"/>
      <c r="H6" s="29" t="n"/>
      <c r="I6" s="68">
        <f>IF(OR(G6="",G$4=""),"",G6/G$4)</f>
        <v/>
      </c>
      <c r="J6" s="68">
        <f>IF(OR(F6="",F$4=""),"",F6/F$4)</f>
        <v/>
      </c>
      <c r="K6" s="34" t="n"/>
    </row>
    <row r="7">
      <c r="A7" s="25" t="inlineStr">
        <is>
          <t>Vishay</t>
        </is>
      </c>
      <c r="B7" s="26" t="inlineStr">
        <is>
          <t>bare (ref)</t>
        </is>
      </c>
      <c r="C7" s="27" t="n">
        <v>1</v>
      </c>
      <c r="D7" s="27" t="n">
        <v>45</v>
      </c>
      <c r="E7" s="29" t="n"/>
      <c r="F7" s="29" t="n"/>
      <c r="G7" s="29" t="n"/>
      <c r="H7" s="29" t="n"/>
      <c r="I7" s="68">
        <f>IF(OR(G7="",G$4=""),"",G7/G$4)</f>
        <v/>
      </c>
      <c r="J7" s="68">
        <f>IF(OR(F7="",F$4=""),"",F7/F$4)</f>
        <v/>
      </c>
      <c r="K7" s="34" t="n"/>
    </row>
    <row r="8">
      <c r="A8" s="25" t="inlineStr">
        <is>
          <t>Vishay</t>
        </is>
      </c>
      <c r="B8" s="26" t="inlineStr">
        <is>
          <t>bare (ref)</t>
        </is>
      </c>
      <c r="C8" s="27" t="n">
        <v>1</v>
      </c>
      <c r="D8" s="27" t="n">
        <v>60</v>
      </c>
      <c r="E8" s="29" t="n"/>
      <c r="F8" s="29" t="n"/>
      <c r="G8" s="29" t="n"/>
      <c r="H8" s="29" t="n"/>
      <c r="I8" s="68">
        <f>IF(OR(G8="",G$4=""),"",G8/G$4)</f>
        <v/>
      </c>
      <c r="J8" s="68">
        <f>IF(OR(F8="",F$4=""),"",F8/F$4)</f>
        <v/>
      </c>
      <c r="K8" s="34" t="n"/>
    </row>
    <row r="9">
      <c r="A9" s="25" t="inlineStr">
        <is>
          <t>Everlight</t>
        </is>
      </c>
      <c r="B9" s="26" t="inlineStr">
        <is>
          <t>bare (ref)</t>
        </is>
      </c>
      <c r="C9" s="27" t="n">
        <v>1</v>
      </c>
      <c r="D9" s="27" t="n">
        <v>0</v>
      </c>
      <c r="E9" s="29" t="n"/>
      <c r="F9" s="29" t="n"/>
      <c r="G9" s="29" t="n"/>
      <c r="H9" s="29" t="n"/>
      <c r="I9" s="68">
        <f>IF(OR(G9="",G$9=""),"",G9/G$9)</f>
        <v/>
      </c>
      <c r="J9" s="68">
        <f>IF(OR(F9="",F$9=""),"",F9/F$9)</f>
        <v/>
      </c>
      <c r="K9" s="34" t="n"/>
    </row>
    <row r="10">
      <c r="A10" s="25" t="inlineStr">
        <is>
          <t>Everlight</t>
        </is>
      </c>
      <c r="B10" s="26" t="inlineStr">
        <is>
          <t>bare (ref)</t>
        </is>
      </c>
      <c r="C10" s="27" t="n">
        <v>1</v>
      </c>
      <c r="D10" s="27" t="n">
        <v>15</v>
      </c>
      <c r="E10" s="29" t="n"/>
      <c r="F10" s="29" t="n"/>
      <c r="G10" s="29" t="n"/>
      <c r="H10" s="29" t="n"/>
      <c r="I10" s="68">
        <f>IF(OR(G10="",G$9=""),"",G10/G$9)</f>
        <v/>
      </c>
      <c r="J10" s="68">
        <f>IF(OR(F10="",F$9=""),"",F10/F$9)</f>
        <v/>
      </c>
      <c r="K10" s="34" t="n"/>
    </row>
    <row r="11">
      <c r="A11" s="25" t="inlineStr">
        <is>
          <t>Everlight</t>
        </is>
      </c>
      <c r="B11" s="26" t="inlineStr">
        <is>
          <t>bare (ref)</t>
        </is>
      </c>
      <c r="C11" s="27" t="n">
        <v>1</v>
      </c>
      <c r="D11" s="27" t="n">
        <v>30</v>
      </c>
      <c r="E11" s="29" t="n"/>
      <c r="F11" s="29" t="n"/>
      <c r="G11" s="29" t="n"/>
      <c r="H11" s="29" t="n"/>
      <c r="I11" s="68">
        <f>IF(OR(G11="",G$9=""),"",G11/G$9)</f>
        <v/>
      </c>
      <c r="J11" s="68">
        <f>IF(OR(F11="",F$9=""),"",F11/F$9)</f>
        <v/>
      </c>
      <c r="K11" s="34" t="n"/>
    </row>
    <row r="12">
      <c r="A12" s="25" t="inlineStr">
        <is>
          <t>Everlight</t>
        </is>
      </c>
      <c r="B12" s="26" t="inlineStr">
        <is>
          <t>bare (ref)</t>
        </is>
      </c>
      <c r="C12" s="27" t="n">
        <v>1</v>
      </c>
      <c r="D12" s="27" t="n">
        <v>45</v>
      </c>
      <c r="E12" s="29" t="n"/>
      <c r="F12" s="29" t="n"/>
      <c r="G12" s="29" t="n"/>
      <c r="H12" s="29" t="n"/>
      <c r="I12" s="68">
        <f>IF(OR(G12="",G$9=""),"",G12/G$9)</f>
        <v/>
      </c>
      <c r="J12" s="68">
        <f>IF(OR(F12="",F$9=""),"",F12/F$9)</f>
        <v/>
      </c>
      <c r="K12" s="34" t="n"/>
    </row>
    <row r="13">
      <c r="A13" s="25" t="inlineStr">
        <is>
          <t>Everlight</t>
        </is>
      </c>
      <c r="B13" s="26" t="inlineStr">
        <is>
          <t>bare (ref)</t>
        </is>
      </c>
      <c r="C13" s="27" t="n">
        <v>1</v>
      </c>
      <c r="D13" s="27" t="n">
        <v>60</v>
      </c>
      <c r="E13" s="29" t="n"/>
      <c r="F13" s="29" t="n"/>
      <c r="G13" s="29" t="n"/>
      <c r="H13" s="29" t="n"/>
      <c r="I13" s="68">
        <f>IF(OR(G13="",G$9=""),"",G13/G$9)</f>
        <v/>
      </c>
      <c r="J13" s="68">
        <f>IF(OR(F13="",F$9=""),"",F13/F$9)</f>
        <v/>
      </c>
      <c r="K13" s="34" t="n"/>
    </row>
    <row r="14">
      <c r="A14" s="25" t="inlineStr">
        <is>
          <t>XL</t>
        </is>
      </c>
      <c r="B14" s="26" t="inlineStr">
        <is>
          <t>bare (ref)</t>
        </is>
      </c>
      <c r="C14" s="27" t="n">
        <v>1</v>
      </c>
      <c r="D14" s="27" t="n">
        <v>0</v>
      </c>
      <c r="E14" s="29" t="n"/>
      <c r="F14" s="29" t="n"/>
      <c r="G14" s="29" t="n"/>
      <c r="H14" s="29" t="n"/>
      <c r="I14" s="68">
        <f>IF(OR(G14="",G$14=""),"",G14/G$14)</f>
        <v/>
      </c>
      <c r="J14" s="68">
        <f>IF(OR(F14="",F$14=""),"",F14/F$14)</f>
        <v/>
      </c>
      <c r="K14" s="34" t="n"/>
    </row>
    <row r="15">
      <c r="A15" s="25" t="inlineStr">
        <is>
          <t>XL</t>
        </is>
      </c>
      <c r="B15" s="26" t="inlineStr">
        <is>
          <t>bare (ref)</t>
        </is>
      </c>
      <c r="C15" s="27" t="n">
        <v>1</v>
      </c>
      <c r="D15" s="27" t="n">
        <v>15</v>
      </c>
      <c r="E15" s="29" t="n"/>
      <c r="F15" s="29" t="n"/>
      <c r="G15" s="29" t="n"/>
      <c r="H15" s="29" t="n"/>
      <c r="I15" s="68">
        <f>IF(OR(G15="",G$14=""),"",G15/G$14)</f>
        <v/>
      </c>
      <c r="J15" s="68">
        <f>IF(OR(F15="",F$14=""),"",F15/F$14)</f>
        <v/>
      </c>
      <c r="K15" s="34" t="n"/>
    </row>
    <row r="16">
      <c r="A16" s="25" t="inlineStr">
        <is>
          <t>XL</t>
        </is>
      </c>
      <c r="B16" s="26" t="inlineStr">
        <is>
          <t>bare (ref)</t>
        </is>
      </c>
      <c r="C16" s="27" t="n">
        <v>1</v>
      </c>
      <c r="D16" s="27" t="n">
        <v>30</v>
      </c>
      <c r="E16" s="29" t="n"/>
      <c r="F16" s="29" t="n"/>
      <c r="G16" s="29" t="n"/>
      <c r="H16" s="29" t="n"/>
      <c r="I16" s="68">
        <f>IF(OR(G16="",G$14=""),"",G16/G$14)</f>
        <v/>
      </c>
      <c r="J16" s="68">
        <f>IF(OR(F16="",F$14=""),"",F16/F$14)</f>
        <v/>
      </c>
      <c r="K16" s="34" t="n"/>
    </row>
    <row r="17">
      <c r="A17" s="25" t="inlineStr">
        <is>
          <t>XL</t>
        </is>
      </c>
      <c r="B17" s="26" t="inlineStr">
        <is>
          <t>bare (ref)</t>
        </is>
      </c>
      <c r="C17" s="27" t="n">
        <v>1</v>
      </c>
      <c r="D17" s="27" t="n">
        <v>45</v>
      </c>
      <c r="E17" s="29" t="n"/>
      <c r="F17" s="29" t="n"/>
      <c r="G17" s="29" t="n"/>
      <c r="H17" s="29" t="n"/>
      <c r="I17" s="68">
        <f>IF(OR(G17="",G$14=""),"",G17/G$14)</f>
        <v/>
      </c>
      <c r="J17" s="68">
        <f>IF(OR(F17="",F$14=""),"",F17/F$14)</f>
        <v/>
      </c>
      <c r="K17" s="34" t="n"/>
    </row>
    <row r="18">
      <c r="A18" s="25" t="inlineStr">
        <is>
          <t>XL</t>
        </is>
      </c>
      <c r="B18" s="26" t="inlineStr">
        <is>
          <t>bare (ref)</t>
        </is>
      </c>
      <c r="C18" s="27" t="n">
        <v>1</v>
      </c>
      <c r="D18" s="27" t="n">
        <v>60</v>
      </c>
      <c r="E18" s="29" t="n"/>
      <c r="F18" s="29" t="n"/>
      <c r="G18" s="29" t="n"/>
      <c r="H18" s="29" t="n"/>
      <c r="I18" s="68">
        <f>IF(OR(G18="",G$14=""),"",G18/G$14)</f>
        <v/>
      </c>
      <c r="J18" s="68">
        <f>IF(OR(F18="",F$14=""),"",F18/F$14)</f>
        <v/>
      </c>
      <c r="K18" s="34" t="n"/>
    </row>
    <row r="19">
      <c r="A19" s="25" t="inlineStr">
        <is>
          <t>Kingbright</t>
        </is>
      </c>
      <c r="B19" s="26" t="inlineStr">
        <is>
          <t>bare (ref)</t>
        </is>
      </c>
      <c r="C19" s="27" t="n">
        <v>1</v>
      </c>
      <c r="D19" s="27" t="n">
        <v>0</v>
      </c>
      <c r="E19" s="29" t="n"/>
      <c r="F19" s="29" t="n"/>
      <c r="G19" s="29" t="n"/>
      <c r="H19" s="29" t="n"/>
      <c r="I19" s="68">
        <f>IF(OR(G19="",G$19=""),"",G19/G$19)</f>
        <v/>
      </c>
      <c r="J19" s="68">
        <f>IF(OR(F19="",F$19=""),"",F19/F$19)</f>
        <v/>
      </c>
      <c r="K19" s="34" t="n"/>
    </row>
    <row r="20">
      <c r="A20" s="25" t="inlineStr">
        <is>
          <t>Kingbright</t>
        </is>
      </c>
      <c r="B20" s="26" t="inlineStr">
        <is>
          <t>bare (ref)</t>
        </is>
      </c>
      <c r="C20" s="27" t="n">
        <v>1</v>
      </c>
      <c r="D20" s="27" t="n">
        <v>15</v>
      </c>
      <c r="E20" s="29" t="n"/>
      <c r="F20" s="29" t="n"/>
      <c r="G20" s="29" t="n"/>
      <c r="H20" s="29" t="n"/>
      <c r="I20" s="68">
        <f>IF(OR(G20="",G$19=""),"",G20/G$19)</f>
        <v/>
      </c>
      <c r="J20" s="68">
        <f>IF(OR(F20="",F$19=""),"",F20/F$19)</f>
        <v/>
      </c>
      <c r="K20" s="34" t="n"/>
    </row>
    <row r="21">
      <c r="A21" s="25" t="inlineStr">
        <is>
          <t>Kingbright</t>
        </is>
      </c>
      <c r="B21" s="26" t="inlineStr">
        <is>
          <t>bare (ref)</t>
        </is>
      </c>
      <c r="C21" s="27" t="n">
        <v>1</v>
      </c>
      <c r="D21" s="27" t="n">
        <v>30</v>
      </c>
      <c r="E21" s="29" t="n"/>
      <c r="F21" s="29" t="n"/>
      <c r="G21" s="29" t="n"/>
      <c r="H21" s="29" t="n"/>
      <c r="I21" s="68">
        <f>IF(OR(G21="",G$19=""),"",G21/G$19)</f>
        <v/>
      </c>
      <c r="J21" s="68">
        <f>IF(OR(F21="",F$19=""),"",F21/F$19)</f>
        <v/>
      </c>
      <c r="K21" s="34" t="n"/>
    </row>
    <row r="22">
      <c r="A22" s="25" t="inlineStr">
        <is>
          <t>Kingbright</t>
        </is>
      </c>
      <c r="B22" s="26" t="inlineStr">
        <is>
          <t>bare (ref)</t>
        </is>
      </c>
      <c r="C22" s="27" t="n">
        <v>1</v>
      </c>
      <c r="D22" s="27" t="n">
        <v>45</v>
      </c>
      <c r="E22" s="29" t="n"/>
      <c r="F22" s="29" t="n"/>
      <c r="G22" s="29" t="n"/>
      <c r="H22" s="29" t="n"/>
      <c r="I22" s="68">
        <f>IF(OR(G22="",G$19=""),"",G22/G$19)</f>
        <v/>
      </c>
      <c r="J22" s="68">
        <f>IF(OR(F22="",F$19=""),"",F22/F$19)</f>
        <v/>
      </c>
      <c r="K22" s="34" t="n"/>
    </row>
    <row r="23">
      <c r="A23" s="25" t="inlineStr">
        <is>
          <t>Kingbright</t>
        </is>
      </c>
      <c r="B23" s="26" t="inlineStr">
        <is>
          <t>bare (ref)</t>
        </is>
      </c>
      <c r="C23" s="27" t="n">
        <v>1</v>
      </c>
      <c r="D23" s="27" t="n">
        <v>60</v>
      </c>
      <c r="E23" s="29" t="n"/>
      <c r="F23" s="29" t="n"/>
      <c r="G23" s="29" t="n"/>
      <c r="H23" s="29" t="n"/>
      <c r="I23" s="68">
        <f>IF(OR(G23="",G$19=""),"",G23/G$19)</f>
        <v/>
      </c>
      <c r="J23" s="68">
        <f>IF(OR(F23="",F$19=""),"",F23/F$19)</f>
        <v/>
      </c>
      <c r="K23" s="34" t="n"/>
    </row>
    <row r="24">
      <c r="A24" s="15" t="inlineStr">
        <is>
          <t>Vishay</t>
        </is>
      </c>
      <c r="B24" s="16" t="inlineStr">
        <is>
          <t>20 mm</t>
        </is>
      </c>
      <c r="C24" s="17" t="n">
        <v>1</v>
      </c>
      <c r="D24" s="17" t="n">
        <v>0</v>
      </c>
      <c r="E24" s="19" t="n"/>
      <c r="F24" s="19" t="n"/>
      <c r="G24" s="19" t="n"/>
      <c r="H24" s="19" t="n"/>
      <c r="I24" s="67">
        <f>IF(OR(G24="",G$24=""),"",G24/G$24)</f>
        <v/>
      </c>
      <c r="J24" s="67">
        <f>IF(OR(F24="",F$24=""),"",F24/F$24)</f>
        <v/>
      </c>
      <c r="K24" s="24" t="n"/>
    </row>
    <row r="25">
      <c r="A25" s="25" t="inlineStr">
        <is>
          <t>Vishay</t>
        </is>
      </c>
      <c r="B25" s="26" t="inlineStr">
        <is>
          <t>20 mm</t>
        </is>
      </c>
      <c r="C25" s="27" t="n">
        <v>1</v>
      </c>
      <c r="D25" s="27" t="n">
        <v>15</v>
      </c>
      <c r="E25" s="29" t="n"/>
      <c r="F25" s="29" t="n"/>
      <c r="G25" s="29" t="n"/>
      <c r="H25" s="29" t="n"/>
      <c r="I25" s="68">
        <f>IF(OR(G25="",G$24=""),"",G25/G$24)</f>
        <v/>
      </c>
      <c r="J25" s="68">
        <f>IF(OR(F25="",F$24=""),"",F25/F$24)</f>
        <v/>
      </c>
      <c r="K25" s="34" t="n"/>
    </row>
    <row r="26">
      <c r="A26" s="25" t="inlineStr">
        <is>
          <t>Vishay</t>
        </is>
      </c>
      <c r="B26" s="26" t="inlineStr">
        <is>
          <t>20 mm</t>
        </is>
      </c>
      <c r="C26" s="27" t="n">
        <v>1</v>
      </c>
      <c r="D26" s="27" t="n">
        <v>30</v>
      </c>
      <c r="E26" s="29" t="n"/>
      <c r="F26" s="29" t="n"/>
      <c r="G26" s="29" t="n"/>
      <c r="H26" s="29" t="n"/>
      <c r="I26" s="68">
        <f>IF(OR(G26="",G$24=""),"",G26/G$24)</f>
        <v/>
      </c>
      <c r="J26" s="68">
        <f>IF(OR(F26="",F$24=""),"",F26/F$24)</f>
        <v/>
      </c>
      <c r="K26" s="34" t="n"/>
    </row>
    <row r="27">
      <c r="A27" s="25" t="inlineStr">
        <is>
          <t>Vishay</t>
        </is>
      </c>
      <c r="B27" s="26" t="inlineStr">
        <is>
          <t>20 mm</t>
        </is>
      </c>
      <c r="C27" s="27" t="n">
        <v>1</v>
      </c>
      <c r="D27" s="27" t="n">
        <v>45</v>
      </c>
      <c r="E27" s="29" t="n"/>
      <c r="F27" s="29" t="n"/>
      <c r="G27" s="29" t="n"/>
      <c r="H27" s="29" t="n"/>
      <c r="I27" s="68">
        <f>IF(OR(G27="",G$24=""),"",G27/G$24)</f>
        <v/>
      </c>
      <c r="J27" s="68">
        <f>IF(OR(F27="",F$24=""),"",F27/F$24)</f>
        <v/>
      </c>
      <c r="K27" s="34" t="n"/>
    </row>
    <row r="28">
      <c r="A28" s="25" t="inlineStr">
        <is>
          <t>Vishay</t>
        </is>
      </c>
      <c r="B28" s="26" t="inlineStr">
        <is>
          <t>20 mm</t>
        </is>
      </c>
      <c r="C28" s="27" t="n">
        <v>1</v>
      </c>
      <c r="D28" s="27" t="n">
        <v>60</v>
      </c>
      <c r="E28" s="29" t="n"/>
      <c r="F28" s="29" t="n"/>
      <c r="G28" s="29" t="n"/>
      <c r="H28" s="29" t="n"/>
      <c r="I28" s="68">
        <f>IF(OR(G28="",G$24=""),"",G28/G$24)</f>
        <v/>
      </c>
      <c r="J28" s="68">
        <f>IF(OR(F28="",F$24=""),"",F28/F$24)</f>
        <v/>
      </c>
      <c r="K28" s="34" t="n"/>
    </row>
    <row r="29">
      <c r="A29" s="25" t="inlineStr">
        <is>
          <t>Everlight</t>
        </is>
      </c>
      <c r="B29" s="26" t="inlineStr">
        <is>
          <t>20 mm</t>
        </is>
      </c>
      <c r="C29" s="27" t="n">
        <v>1</v>
      </c>
      <c r="D29" s="27" t="n">
        <v>0</v>
      </c>
      <c r="E29" s="29" t="n"/>
      <c r="F29" s="29" t="n"/>
      <c r="G29" s="29" t="n"/>
      <c r="H29" s="29" t="n"/>
      <c r="I29" s="68">
        <f>IF(OR(G29="",G$29=""),"",G29/G$29)</f>
        <v/>
      </c>
      <c r="J29" s="68">
        <f>IF(OR(F29="",F$29=""),"",F29/F$29)</f>
        <v/>
      </c>
      <c r="K29" s="34" t="n"/>
    </row>
    <row r="30">
      <c r="A30" s="25" t="inlineStr">
        <is>
          <t>Everlight</t>
        </is>
      </c>
      <c r="B30" s="26" t="inlineStr">
        <is>
          <t>20 mm</t>
        </is>
      </c>
      <c r="C30" s="27" t="n">
        <v>1</v>
      </c>
      <c r="D30" s="27" t="n">
        <v>15</v>
      </c>
      <c r="E30" s="29" t="n"/>
      <c r="F30" s="29" t="n"/>
      <c r="G30" s="29" t="n"/>
      <c r="H30" s="29" t="n"/>
      <c r="I30" s="68">
        <f>IF(OR(G30="",G$29=""),"",G30/G$29)</f>
        <v/>
      </c>
      <c r="J30" s="68">
        <f>IF(OR(F30="",F$29=""),"",F30/F$29)</f>
        <v/>
      </c>
      <c r="K30" s="34" t="n"/>
    </row>
    <row r="31">
      <c r="A31" s="25" t="inlineStr">
        <is>
          <t>Everlight</t>
        </is>
      </c>
      <c r="B31" s="26" t="inlineStr">
        <is>
          <t>20 mm</t>
        </is>
      </c>
      <c r="C31" s="27" t="n">
        <v>1</v>
      </c>
      <c r="D31" s="27" t="n">
        <v>30</v>
      </c>
      <c r="E31" s="29" t="n"/>
      <c r="F31" s="29" t="n"/>
      <c r="G31" s="29" t="n"/>
      <c r="H31" s="29" t="n"/>
      <c r="I31" s="68">
        <f>IF(OR(G31="",G$29=""),"",G31/G$29)</f>
        <v/>
      </c>
      <c r="J31" s="68">
        <f>IF(OR(F31="",F$29=""),"",F31/F$29)</f>
        <v/>
      </c>
      <c r="K31" s="34" t="n"/>
    </row>
    <row r="32">
      <c r="A32" s="25" t="inlineStr">
        <is>
          <t>Everlight</t>
        </is>
      </c>
      <c r="B32" s="26" t="inlineStr">
        <is>
          <t>20 mm</t>
        </is>
      </c>
      <c r="C32" s="27" t="n">
        <v>1</v>
      </c>
      <c r="D32" s="27" t="n">
        <v>45</v>
      </c>
      <c r="E32" s="29" t="n"/>
      <c r="F32" s="29" t="n"/>
      <c r="G32" s="29" t="n"/>
      <c r="H32" s="29" t="n"/>
      <c r="I32" s="68">
        <f>IF(OR(G32="",G$29=""),"",G32/G$29)</f>
        <v/>
      </c>
      <c r="J32" s="68">
        <f>IF(OR(F32="",F$29=""),"",F32/F$29)</f>
        <v/>
      </c>
      <c r="K32" s="34" t="n"/>
    </row>
    <row r="33">
      <c r="A33" s="25" t="inlineStr">
        <is>
          <t>Everlight</t>
        </is>
      </c>
      <c r="B33" s="26" t="inlineStr">
        <is>
          <t>20 mm</t>
        </is>
      </c>
      <c r="C33" s="27" t="n">
        <v>1</v>
      </c>
      <c r="D33" s="27" t="n">
        <v>60</v>
      </c>
      <c r="E33" s="29" t="n"/>
      <c r="F33" s="29" t="n"/>
      <c r="G33" s="29" t="n"/>
      <c r="H33" s="29" t="n"/>
      <c r="I33" s="68">
        <f>IF(OR(G33="",G$29=""),"",G33/G$29)</f>
        <v/>
      </c>
      <c r="J33" s="68">
        <f>IF(OR(F33="",F$29=""),"",F33/F$29)</f>
        <v/>
      </c>
      <c r="K33" s="34" t="n"/>
    </row>
    <row r="34">
      <c r="A34" s="25" t="inlineStr">
        <is>
          <t>XL</t>
        </is>
      </c>
      <c r="B34" s="26" t="inlineStr">
        <is>
          <t>20 mm</t>
        </is>
      </c>
      <c r="C34" s="27" t="n">
        <v>1</v>
      </c>
      <c r="D34" s="27" t="n">
        <v>0</v>
      </c>
      <c r="E34" s="29" t="n"/>
      <c r="F34" s="29" t="n"/>
      <c r="G34" s="29" t="n"/>
      <c r="H34" s="29" t="n"/>
      <c r="I34" s="68">
        <f>IF(OR(G34="",G$34=""),"",G34/G$34)</f>
        <v/>
      </c>
      <c r="J34" s="68">
        <f>IF(OR(F34="",F$34=""),"",F34/F$34)</f>
        <v/>
      </c>
      <c r="K34" s="34" t="n"/>
    </row>
    <row r="35">
      <c r="A35" s="25" t="inlineStr">
        <is>
          <t>XL</t>
        </is>
      </c>
      <c r="B35" s="26" t="inlineStr">
        <is>
          <t>20 mm</t>
        </is>
      </c>
      <c r="C35" s="27" t="n">
        <v>1</v>
      </c>
      <c r="D35" s="27" t="n">
        <v>15</v>
      </c>
      <c r="E35" s="29" t="n"/>
      <c r="F35" s="29" t="n"/>
      <c r="G35" s="29" t="n"/>
      <c r="H35" s="29" t="n"/>
      <c r="I35" s="68">
        <f>IF(OR(G35="",G$34=""),"",G35/G$34)</f>
        <v/>
      </c>
      <c r="J35" s="68">
        <f>IF(OR(F35="",F$34=""),"",F35/F$34)</f>
        <v/>
      </c>
      <c r="K35" s="34" t="n"/>
    </row>
    <row r="36">
      <c r="A36" s="25" t="inlineStr">
        <is>
          <t>XL</t>
        </is>
      </c>
      <c r="B36" s="26" t="inlineStr">
        <is>
          <t>20 mm</t>
        </is>
      </c>
      <c r="C36" s="27" t="n">
        <v>1</v>
      </c>
      <c r="D36" s="27" t="n">
        <v>30</v>
      </c>
      <c r="E36" s="29" t="n"/>
      <c r="F36" s="29" t="n"/>
      <c r="G36" s="29" t="n"/>
      <c r="H36" s="29" t="n"/>
      <c r="I36" s="68">
        <f>IF(OR(G36="",G$34=""),"",G36/G$34)</f>
        <v/>
      </c>
      <c r="J36" s="68">
        <f>IF(OR(F36="",F$34=""),"",F36/F$34)</f>
        <v/>
      </c>
      <c r="K36" s="34" t="n"/>
    </row>
    <row r="37">
      <c r="A37" s="25" t="inlineStr">
        <is>
          <t>XL</t>
        </is>
      </c>
      <c r="B37" s="26" t="inlineStr">
        <is>
          <t>20 mm</t>
        </is>
      </c>
      <c r="C37" s="27" t="n">
        <v>1</v>
      </c>
      <c r="D37" s="27" t="n">
        <v>45</v>
      </c>
      <c r="E37" s="29" t="n"/>
      <c r="F37" s="29" t="n"/>
      <c r="G37" s="29" t="n"/>
      <c r="H37" s="29" t="n"/>
      <c r="I37" s="68">
        <f>IF(OR(G37="",G$34=""),"",G37/G$34)</f>
        <v/>
      </c>
      <c r="J37" s="68">
        <f>IF(OR(F37="",F$34=""),"",F37/F$34)</f>
        <v/>
      </c>
      <c r="K37" s="34" t="n"/>
    </row>
    <row r="38">
      <c r="A38" s="25" t="inlineStr">
        <is>
          <t>XL</t>
        </is>
      </c>
      <c r="B38" s="26" t="inlineStr">
        <is>
          <t>20 mm</t>
        </is>
      </c>
      <c r="C38" s="27" t="n">
        <v>1</v>
      </c>
      <c r="D38" s="27" t="n">
        <v>60</v>
      </c>
      <c r="E38" s="29" t="n"/>
      <c r="F38" s="29" t="n"/>
      <c r="G38" s="29" t="n"/>
      <c r="H38" s="29" t="n"/>
      <c r="I38" s="68">
        <f>IF(OR(G38="",G$34=""),"",G38/G$34)</f>
        <v/>
      </c>
      <c r="J38" s="68">
        <f>IF(OR(F38="",F$34=""),"",F38/F$34)</f>
        <v/>
      </c>
      <c r="K38" s="34" t="n"/>
    </row>
    <row r="39">
      <c r="A39" s="25" t="inlineStr">
        <is>
          <t>Kingbright</t>
        </is>
      </c>
      <c r="B39" s="26" t="inlineStr">
        <is>
          <t>20 mm</t>
        </is>
      </c>
      <c r="C39" s="27" t="n">
        <v>1</v>
      </c>
      <c r="D39" s="27" t="n">
        <v>0</v>
      </c>
      <c r="E39" s="29" t="n"/>
      <c r="F39" s="29" t="n"/>
      <c r="G39" s="29" t="n"/>
      <c r="H39" s="29" t="n"/>
      <c r="I39" s="68">
        <f>IF(OR(G39="",G$39=""),"",G39/G$39)</f>
        <v/>
      </c>
      <c r="J39" s="68">
        <f>IF(OR(F39="",F$39=""),"",F39/F$39)</f>
        <v/>
      </c>
      <c r="K39" s="34" t="n"/>
    </row>
    <row r="40">
      <c r="A40" s="25" t="inlineStr">
        <is>
          <t>Kingbright</t>
        </is>
      </c>
      <c r="B40" s="26" t="inlineStr">
        <is>
          <t>20 mm</t>
        </is>
      </c>
      <c r="C40" s="27" t="n">
        <v>1</v>
      </c>
      <c r="D40" s="27" t="n">
        <v>15</v>
      </c>
      <c r="E40" s="29" t="n"/>
      <c r="F40" s="29" t="n"/>
      <c r="G40" s="29" t="n"/>
      <c r="H40" s="29" t="n"/>
      <c r="I40" s="68">
        <f>IF(OR(G40="",G$39=""),"",G40/G$39)</f>
        <v/>
      </c>
      <c r="J40" s="68">
        <f>IF(OR(F40="",F$39=""),"",F40/F$39)</f>
        <v/>
      </c>
      <c r="K40" s="34" t="n"/>
    </row>
    <row r="41">
      <c r="A41" s="25" t="inlineStr">
        <is>
          <t>Kingbright</t>
        </is>
      </c>
      <c r="B41" s="26" t="inlineStr">
        <is>
          <t>20 mm</t>
        </is>
      </c>
      <c r="C41" s="27" t="n">
        <v>1</v>
      </c>
      <c r="D41" s="27" t="n">
        <v>30</v>
      </c>
      <c r="E41" s="29" t="n"/>
      <c r="F41" s="29" t="n"/>
      <c r="G41" s="29" t="n"/>
      <c r="H41" s="29" t="n"/>
      <c r="I41" s="68">
        <f>IF(OR(G41="",G$39=""),"",G41/G$39)</f>
        <v/>
      </c>
      <c r="J41" s="68">
        <f>IF(OR(F41="",F$39=""),"",F41/F$39)</f>
        <v/>
      </c>
      <c r="K41" s="34" t="n"/>
    </row>
    <row r="42">
      <c r="A42" s="25" t="inlineStr">
        <is>
          <t>Kingbright</t>
        </is>
      </c>
      <c r="B42" s="26" t="inlineStr">
        <is>
          <t>20 mm</t>
        </is>
      </c>
      <c r="C42" s="27" t="n">
        <v>1</v>
      </c>
      <c r="D42" s="27" t="n">
        <v>45</v>
      </c>
      <c r="E42" s="29" t="n"/>
      <c r="F42" s="29" t="n"/>
      <c r="G42" s="29" t="n"/>
      <c r="H42" s="29" t="n"/>
      <c r="I42" s="68">
        <f>IF(OR(G42="",G$39=""),"",G42/G$39)</f>
        <v/>
      </c>
      <c r="J42" s="68">
        <f>IF(OR(F42="",F$39=""),"",F42/F$39)</f>
        <v/>
      </c>
      <c r="K42" s="34" t="n"/>
    </row>
    <row r="43">
      <c r="A43" s="25" t="inlineStr">
        <is>
          <t>Kingbright</t>
        </is>
      </c>
      <c r="B43" s="26" t="inlineStr">
        <is>
          <t>20 mm</t>
        </is>
      </c>
      <c r="C43" s="27" t="n">
        <v>1</v>
      </c>
      <c r="D43" s="27" t="n">
        <v>60</v>
      </c>
      <c r="E43" s="29" t="n"/>
      <c r="F43" s="29" t="n"/>
      <c r="G43" s="29" t="n"/>
      <c r="H43" s="29" t="n"/>
      <c r="I43" s="68">
        <f>IF(OR(G43="",G$39=""),"",G43/G$39)</f>
        <v/>
      </c>
      <c r="J43" s="68">
        <f>IF(OR(F43="",F$39=""),"",F43/F$39)</f>
        <v/>
      </c>
      <c r="K43" s="34" t="n"/>
    </row>
    <row r="44">
      <c r="A44" s="15" t="inlineStr">
        <is>
          <t>Vishay</t>
        </is>
      </c>
      <c r="B44" s="16" t="inlineStr">
        <is>
          <t>25 mm</t>
        </is>
      </c>
      <c r="C44" s="17" t="n">
        <v>1</v>
      </c>
      <c r="D44" s="17" t="n">
        <v>0</v>
      </c>
      <c r="E44" s="19" t="n"/>
      <c r="F44" s="19" t="n"/>
      <c r="G44" s="19" t="n"/>
      <c r="H44" s="19" t="n"/>
      <c r="I44" s="67">
        <f>IF(OR(G44="",G$44=""),"",G44/G$44)</f>
        <v/>
      </c>
      <c r="J44" s="67">
        <f>IF(OR(F44="",F$44=""),"",F44/F$44)</f>
        <v/>
      </c>
      <c r="K44" s="24" t="n"/>
    </row>
    <row r="45">
      <c r="A45" s="25" t="inlineStr">
        <is>
          <t>Vishay</t>
        </is>
      </c>
      <c r="B45" s="26" t="inlineStr">
        <is>
          <t>25 mm</t>
        </is>
      </c>
      <c r="C45" s="27" t="n">
        <v>1</v>
      </c>
      <c r="D45" s="27" t="n">
        <v>15</v>
      </c>
      <c r="E45" s="29" t="n"/>
      <c r="F45" s="29" t="n"/>
      <c r="G45" s="29" t="n"/>
      <c r="H45" s="29" t="n"/>
      <c r="I45" s="68">
        <f>IF(OR(G45="",G$44=""),"",G45/G$44)</f>
        <v/>
      </c>
      <c r="J45" s="68">
        <f>IF(OR(F45="",F$44=""),"",F45/F$44)</f>
        <v/>
      </c>
      <c r="K45" s="34" t="n"/>
    </row>
    <row r="46">
      <c r="A46" s="25" t="inlineStr">
        <is>
          <t>Vishay</t>
        </is>
      </c>
      <c r="B46" s="26" t="inlineStr">
        <is>
          <t>25 mm</t>
        </is>
      </c>
      <c r="C46" s="27" t="n">
        <v>1</v>
      </c>
      <c r="D46" s="27" t="n">
        <v>30</v>
      </c>
      <c r="E46" s="29" t="n"/>
      <c r="F46" s="29" t="n"/>
      <c r="G46" s="29" t="n"/>
      <c r="H46" s="29" t="n"/>
      <c r="I46" s="68">
        <f>IF(OR(G46="",G$44=""),"",G46/G$44)</f>
        <v/>
      </c>
      <c r="J46" s="68">
        <f>IF(OR(F46="",F$44=""),"",F46/F$44)</f>
        <v/>
      </c>
      <c r="K46" s="34" t="n"/>
    </row>
    <row r="47">
      <c r="A47" s="25" t="inlineStr">
        <is>
          <t>Vishay</t>
        </is>
      </c>
      <c r="B47" s="26" t="inlineStr">
        <is>
          <t>25 mm</t>
        </is>
      </c>
      <c r="C47" s="27" t="n">
        <v>1</v>
      </c>
      <c r="D47" s="27" t="n">
        <v>45</v>
      </c>
      <c r="E47" s="29" t="n"/>
      <c r="F47" s="29" t="n"/>
      <c r="G47" s="29" t="n"/>
      <c r="H47" s="29" t="n"/>
      <c r="I47" s="68">
        <f>IF(OR(G47="",G$44=""),"",G47/G$44)</f>
        <v/>
      </c>
      <c r="J47" s="68">
        <f>IF(OR(F47="",F$44=""),"",F47/F$44)</f>
        <v/>
      </c>
      <c r="K47" s="34" t="n"/>
    </row>
    <row r="48">
      <c r="A48" s="25" t="inlineStr">
        <is>
          <t>Vishay</t>
        </is>
      </c>
      <c r="B48" s="26" t="inlineStr">
        <is>
          <t>25 mm</t>
        </is>
      </c>
      <c r="C48" s="27" t="n">
        <v>1</v>
      </c>
      <c r="D48" s="27" t="n">
        <v>60</v>
      </c>
      <c r="E48" s="29" t="n"/>
      <c r="F48" s="29" t="n"/>
      <c r="G48" s="29" t="n"/>
      <c r="H48" s="29" t="n"/>
      <c r="I48" s="68">
        <f>IF(OR(G48="",G$44=""),"",G48/G$44)</f>
        <v/>
      </c>
      <c r="J48" s="68">
        <f>IF(OR(F48="",F$44=""),"",F48/F$44)</f>
        <v/>
      </c>
      <c r="K48" s="34" t="n"/>
    </row>
    <row r="49">
      <c r="A49" s="25" t="inlineStr">
        <is>
          <t>Everlight</t>
        </is>
      </c>
      <c r="B49" s="26" t="inlineStr">
        <is>
          <t>25 mm</t>
        </is>
      </c>
      <c r="C49" s="27" t="n">
        <v>1</v>
      </c>
      <c r="D49" s="27" t="n">
        <v>0</v>
      </c>
      <c r="E49" s="29" t="n"/>
      <c r="F49" s="29" t="n"/>
      <c r="G49" s="29" t="n"/>
      <c r="H49" s="29" t="n"/>
      <c r="I49" s="68">
        <f>IF(OR(G49="",G$49=""),"",G49/G$49)</f>
        <v/>
      </c>
      <c r="J49" s="68">
        <f>IF(OR(F49="",F$49=""),"",F49/F$49)</f>
        <v/>
      </c>
      <c r="K49" s="34" t="n"/>
    </row>
    <row r="50">
      <c r="A50" s="25" t="inlineStr">
        <is>
          <t>Everlight</t>
        </is>
      </c>
      <c r="B50" s="26" t="inlineStr">
        <is>
          <t>25 mm</t>
        </is>
      </c>
      <c r="C50" s="27" t="n">
        <v>1</v>
      </c>
      <c r="D50" s="27" t="n">
        <v>15</v>
      </c>
      <c r="E50" s="29" t="n"/>
      <c r="F50" s="29" t="n"/>
      <c r="G50" s="29" t="n"/>
      <c r="H50" s="29" t="n"/>
      <c r="I50" s="68">
        <f>IF(OR(G50="",G$49=""),"",G50/G$49)</f>
        <v/>
      </c>
      <c r="J50" s="68">
        <f>IF(OR(F50="",F$49=""),"",F50/F$49)</f>
        <v/>
      </c>
      <c r="K50" s="34" t="n"/>
    </row>
    <row r="51">
      <c r="A51" s="25" t="inlineStr">
        <is>
          <t>Everlight</t>
        </is>
      </c>
      <c r="B51" s="26" t="inlineStr">
        <is>
          <t>25 mm</t>
        </is>
      </c>
      <c r="C51" s="27" t="n">
        <v>1</v>
      </c>
      <c r="D51" s="27" t="n">
        <v>30</v>
      </c>
      <c r="E51" s="29" t="n"/>
      <c r="F51" s="29" t="n"/>
      <c r="G51" s="29" t="n"/>
      <c r="H51" s="29" t="n"/>
      <c r="I51" s="68">
        <f>IF(OR(G51="",G$49=""),"",G51/G$49)</f>
        <v/>
      </c>
      <c r="J51" s="68">
        <f>IF(OR(F51="",F$49=""),"",F51/F$49)</f>
        <v/>
      </c>
      <c r="K51" s="34" t="n"/>
    </row>
    <row r="52">
      <c r="A52" s="25" t="inlineStr">
        <is>
          <t>Everlight</t>
        </is>
      </c>
      <c r="B52" s="26" t="inlineStr">
        <is>
          <t>25 mm</t>
        </is>
      </c>
      <c r="C52" s="27" t="n">
        <v>1</v>
      </c>
      <c r="D52" s="27" t="n">
        <v>45</v>
      </c>
      <c r="E52" s="29" t="n"/>
      <c r="F52" s="29" t="n"/>
      <c r="G52" s="29" t="n"/>
      <c r="H52" s="29" t="n"/>
      <c r="I52" s="68">
        <f>IF(OR(G52="",G$49=""),"",G52/G$49)</f>
        <v/>
      </c>
      <c r="J52" s="68">
        <f>IF(OR(F52="",F$49=""),"",F52/F$49)</f>
        <v/>
      </c>
      <c r="K52" s="34" t="n"/>
    </row>
    <row r="53">
      <c r="A53" s="25" t="inlineStr">
        <is>
          <t>Everlight</t>
        </is>
      </c>
      <c r="B53" s="26" t="inlineStr">
        <is>
          <t>25 mm</t>
        </is>
      </c>
      <c r="C53" s="27" t="n">
        <v>1</v>
      </c>
      <c r="D53" s="27" t="n">
        <v>60</v>
      </c>
      <c r="E53" s="29" t="n"/>
      <c r="F53" s="29" t="n"/>
      <c r="G53" s="29" t="n"/>
      <c r="H53" s="29" t="n"/>
      <c r="I53" s="68">
        <f>IF(OR(G53="",G$49=""),"",G53/G$49)</f>
        <v/>
      </c>
      <c r="J53" s="68">
        <f>IF(OR(F53="",F$49=""),"",F53/F$49)</f>
        <v/>
      </c>
      <c r="K53" s="34" t="n"/>
    </row>
    <row r="54">
      <c r="A54" s="25" t="inlineStr">
        <is>
          <t>XL</t>
        </is>
      </c>
      <c r="B54" s="26" t="inlineStr">
        <is>
          <t>25 mm</t>
        </is>
      </c>
      <c r="C54" s="27" t="n">
        <v>1</v>
      </c>
      <c r="D54" s="27" t="n">
        <v>0</v>
      </c>
      <c r="E54" s="29" t="n"/>
      <c r="F54" s="29" t="n"/>
      <c r="G54" s="29" t="n"/>
      <c r="H54" s="29" t="n"/>
      <c r="I54" s="68">
        <f>IF(OR(G54="",G$54=""),"",G54/G$54)</f>
        <v/>
      </c>
      <c r="J54" s="68">
        <f>IF(OR(F54="",F$54=""),"",F54/F$54)</f>
        <v/>
      </c>
      <c r="K54" s="34" t="n"/>
    </row>
    <row r="55">
      <c r="A55" s="25" t="inlineStr">
        <is>
          <t>XL</t>
        </is>
      </c>
      <c r="B55" s="26" t="inlineStr">
        <is>
          <t>25 mm</t>
        </is>
      </c>
      <c r="C55" s="27" t="n">
        <v>1</v>
      </c>
      <c r="D55" s="27" t="n">
        <v>15</v>
      </c>
      <c r="E55" s="29" t="n"/>
      <c r="F55" s="29" t="n"/>
      <c r="G55" s="29" t="n"/>
      <c r="H55" s="29" t="n"/>
      <c r="I55" s="68">
        <f>IF(OR(G55="",G$54=""),"",G55/G$54)</f>
        <v/>
      </c>
      <c r="J55" s="68">
        <f>IF(OR(F55="",F$54=""),"",F55/F$54)</f>
        <v/>
      </c>
      <c r="K55" s="34" t="n"/>
    </row>
    <row r="56">
      <c r="A56" s="25" t="inlineStr">
        <is>
          <t>XL</t>
        </is>
      </c>
      <c r="B56" s="26" t="inlineStr">
        <is>
          <t>25 mm</t>
        </is>
      </c>
      <c r="C56" s="27" t="n">
        <v>1</v>
      </c>
      <c r="D56" s="27" t="n">
        <v>30</v>
      </c>
      <c r="E56" s="29" t="n"/>
      <c r="F56" s="29" t="n"/>
      <c r="G56" s="29" t="n"/>
      <c r="H56" s="29" t="n"/>
      <c r="I56" s="68">
        <f>IF(OR(G56="",G$54=""),"",G56/G$54)</f>
        <v/>
      </c>
      <c r="J56" s="68">
        <f>IF(OR(F56="",F$54=""),"",F56/F$54)</f>
        <v/>
      </c>
      <c r="K56" s="34" t="n"/>
    </row>
    <row r="57">
      <c r="A57" s="25" t="inlineStr">
        <is>
          <t>XL</t>
        </is>
      </c>
      <c r="B57" s="26" t="inlineStr">
        <is>
          <t>25 mm</t>
        </is>
      </c>
      <c r="C57" s="27" t="n">
        <v>1</v>
      </c>
      <c r="D57" s="27" t="n">
        <v>45</v>
      </c>
      <c r="E57" s="29" t="n"/>
      <c r="F57" s="29" t="n"/>
      <c r="G57" s="29" t="n"/>
      <c r="H57" s="29" t="n"/>
      <c r="I57" s="68">
        <f>IF(OR(G57="",G$54=""),"",G57/G$54)</f>
        <v/>
      </c>
      <c r="J57" s="68">
        <f>IF(OR(F57="",F$54=""),"",F57/F$54)</f>
        <v/>
      </c>
      <c r="K57" s="34" t="n"/>
    </row>
    <row r="58">
      <c r="A58" s="25" t="inlineStr">
        <is>
          <t>XL</t>
        </is>
      </c>
      <c r="B58" s="26" t="inlineStr">
        <is>
          <t>25 mm</t>
        </is>
      </c>
      <c r="C58" s="27" t="n">
        <v>1</v>
      </c>
      <c r="D58" s="27" t="n">
        <v>60</v>
      </c>
      <c r="E58" s="29" t="n"/>
      <c r="F58" s="29" t="n"/>
      <c r="G58" s="29" t="n"/>
      <c r="H58" s="29" t="n"/>
      <c r="I58" s="68">
        <f>IF(OR(G58="",G$54=""),"",G58/G$54)</f>
        <v/>
      </c>
      <c r="J58" s="68">
        <f>IF(OR(F58="",F$54=""),"",F58/F$54)</f>
        <v/>
      </c>
      <c r="K58" s="34" t="n"/>
    </row>
    <row r="59">
      <c r="A59" s="25" t="inlineStr">
        <is>
          <t>Kingbright</t>
        </is>
      </c>
      <c r="B59" s="26" t="inlineStr">
        <is>
          <t>25 mm</t>
        </is>
      </c>
      <c r="C59" s="27" t="n">
        <v>1</v>
      </c>
      <c r="D59" s="27" t="n">
        <v>0</v>
      </c>
      <c r="E59" s="29" t="n"/>
      <c r="F59" s="29" t="n"/>
      <c r="G59" s="29" t="n"/>
      <c r="H59" s="29" t="n"/>
      <c r="I59" s="68">
        <f>IF(OR(G59="",G$59=""),"",G59/G$59)</f>
        <v/>
      </c>
      <c r="J59" s="68">
        <f>IF(OR(F59="",F$59=""),"",F59/F$59)</f>
        <v/>
      </c>
      <c r="K59" s="34" t="n"/>
    </row>
    <row r="60">
      <c r="A60" s="25" t="inlineStr">
        <is>
          <t>Kingbright</t>
        </is>
      </c>
      <c r="B60" s="26" t="inlineStr">
        <is>
          <t>25 mm</t>
        </is>
      </c>
      <c r="C60" s="27" t="n">
        <v>1</v>
      </c>
      <c r="D60" s="27" t="n">
        <v>15</v>
      </c>
      <c r="E60" s="29" t="n"/>
      <c r="F60" s="29" t="n"/>
      <c r="G60" s="29" t="n"/>
      <c r="H60" s="29" t="n"/>
      <c r="I60" s="68">
        <f>IF(OR(G60="",G$59=""),"",G60/G$59)</f>
        <v/>
      </c>
      <c r="J60" s="68">
        <f>IF(OR(F60="",F$59=""),"",F60/F$59)</f>
        <v/>
      </c>
      <c r="K60" s="34" t="n"/>
    </row>
    <row r="61">
      <c r="A61" s="25" t="inlineStr">
        <is>
          <t>Kingbright</t>
        </is>
      </c>
      <c r="B61" s="26" t="inlineStr">
        <is>
          <t>25 mm</t>
        </is>
      </c>
      <c r="C61" s="27" t="n">
        <v>1</v>
      </c>
      <c r="D61" s="27" t="n">
        <v>30</v>
      </c>
      <c r="E61" s="29" t="n"/>
      <c r="F61" s="29" t="n"/>
      <c r="G61" s="29" t="n"/>
      <c r="H61" s="29" t="n"/>
      <c r="I61" s="68">
        <f>IF(OR(G61="",G$59=""),"",G61/G$59)</f>
        <v/>
      </c>
      <c r="J61" s="68">
        <f>IF(OR(F61="",F$59=""),"",F61/F$59)</f>
        <v/>
      </c>
      <c r="K61" s="34" t="n"/>
    </row>
    <row r="62">
      <c r="A62" s="25" t="inlineStr">
        <is>
          <t>Kingbright</t>
        </is>
      </c>
      <c r="B62" s="26" t="inlineStr">
        <is>
          <t>25 mm</t>
        </is>
      </c>
      <c r="C62" s="27" t="n">
        <v>1</v>
      </c>
      <c r="D62" s="27" t="n">
        <v>45</v>
      </c>
      <c r="E62" s="29" t="n"/>
      <c r="F62" s="29" t="n"/>
      <c r="G62" s="29" t="n"/>
      <c r="H62" s="29" t="n"/>
      <c r="I62" s="68">
        <f>IF(OR(G62="",G$59=""),"",G62/G$59)</f>
        <v/>
      </c>
      <c r="J62" s="68">
        <f>IF(OR(F62="",F$59=""),"",F62/F$59)</f>
        <v/>
      </c>
      <c r="K62" s="34" t="n"/>
    </row>
    <row r="63">
      <c r="A63" s="25" t="inlineStr">
        <is>
          <t>Kingbright</t>
        </is>
      </c>
      <c r="B63" s="26" t="inlineStr">
        <is>
          <t>25 mm</t>
        </is>
      </c>
      <c r="C63" s="27" t="n">
        <v>1</v>
      </c>
      <c r="D63" s="27" t="n">
        <v>60</v>
      </c>
      <c r="E63" s="29" t="n"/>
      <c r="F63" s="29" t="n"/>
      <c r="G63" s="29" t="n"/>
      <c r="H63" s="29" t="n"/>
      <c r="I63" s="68">
        <f>IF(OR(G63="",G$59=""),"",G63/G$59)</f>
        <v/>
      </c>
      <c r="J63" s="68">
        <f>IF(OR(F63="",F$59=""),"",F63/F$59)</f>
        <v/>
      </c>
      <c r="K63" s="34" t="n"/>
    </row>
    <row r="65">
      <c r="A65" s="38" t="inlineStr">
        <is>
          <t>ROLL - rotate the marker about its OWN axis. This is the 20 vs 25 mm decider.</t>
        </is>
      </c>
    </row>
    <row r="66">
      <c r="A66" s="7" t="inlineStr">
        <is>
          <t>Four LEDs at 90 deg spacing, so 0 deg (facing one LED) and 45 deg (between two) are the extremes. MODE="measure" -&gt; record the printed mean u, mean v and blobs_max. Rotate in place: any translation reads as false bias.</t>
        </is>
      </c>
    </row>
    <row r="67" ht="30" customHeight="1">
      <c r="A67" s="8" t="inlineStr">
        <is>
          <t>LED Type</t>
        </is>
      </c>
      <c r="B67" s="8" t="inlineStr">
        <is>
          <t>Build</t>
        </is>
      </c>
      <c r="C67" s="8" t="inlineStr">
        <is>
          <t>Sample</t>
        </is>
      </c>
      <c r="D67" s="8" t="inlineStr">
        <is>
          <t>Roll
(deg)</t>
        </is>
      </c>
      <c r="E67" s="8" t="inlineStr">
        <is>
          <t>Exposure
(us)</t>
        </is>
      </c>
      <c r="F67" s="8" t="inlineStr">
        <is>
          <t>Peak
(0-255)</t>
        </is>
      </c>
      <c r="G67" s="8" t="inlineStr">
        <is>
          <t>mean u
(px)</t>
        </is>
      </c>
      <c r="H67" s="8" t="inlineStr">
        <is>
          <t>mean v
(px)</t>
        </is>
      </c>
      <c r="I67" s="8" t="inlineStr">
        <is>
          <t>blobs_max</t>
        </is>
      </c>
      <c r="J67" s="8" t="inlineStr">
        <is>
          <t>Shift vs
roll 0 (px)</t>
        </is>
      </c>
      <c r="K67" s="8" t="inlineStr">
        <is>
          <t>Notes</t>
        </is>
      </c>
    </row>
    <row r="68">
      <c r="A68" s="15" t="inlineStr">
        <is>
          <t>Vishay</t>
        </is>
      </c>
      <c r="B68" s="16" t="inlineStr">
        <is>
          <t>20 mm</t>
        </is>
      </c>
      <c r="C68" s="17" t="n">
        <v>1</v>
      </c>
      <c r="D68" s="57" t="n">
        <v>0</v>
      </c>
      <c r="E68" s="19" t="n"/>
      <c r="F68" s="19" t="n"/>
      <c r="G68" s="39" t="n"/>
      <c r="H68" s="39" t="n"/>
      <c r="I68" s="19" t="n"/>
      <c r="J68" s="40">
        <f>IF(OR(G68="",H68="",G$68="",H$68=""),"",SQRT((G68-G$68)^2+(H68-H$68)^2))</f>
        <v/>
      </c>
      <c r="K68" s="24" t="n"/>
    </row>
    <row r="69">
      <c r="A69" s="25" t="inlineStr">
        <is>
          <t>Vishay</t>
        </is>
      </c>
      <c r="B69" s="26" t="inlineStr">
        <is>
          <t>20 mm</t>
        </is>
      </c>
      <c r="C69" s="27" t="n">
        <v>1</v>
      </c>
      <c r="D69" s="53" t="n">
        <v>22.5</v>
      </c>
      <c r="E69" s="29" t="n"/>
      <c r="F69" s="29" t="n"/>
      <c r="G69" s="41" t="n"/>
      <c r="H69" s="41" t="n"/>
      <c r="I69" s="29" t="n"/>
      <c r="J69" s="42">
        <f>IF(OR(G69="",H69="",G$68="",H$68=""),"",SQRT((G69-G$68)^2+(H69-H$68)^2))</f>
        <v/>
      </c>
      <c r="K69" s="34" t="n"/>
    </row>
    <row r="70">
      <c r="A70" s="25" t="inlineStr">
        <is>
          <t>Vishay</t>
        </is>
      </c>
      <c r="B70" s="26" t="inlineStr">
        <is>
          <t>20 mm</t>
        </is>
      </c>
      <c r="C70" s="27" t="n">
        <v>1</v>
      </c>
      <c r="D70" s="53" t="n">
        <v>45</v>
      </c>
      <c r="E70" s="29" t="n"/>
      <c r="F70" s="29" t="n"/>
      <c r="G70" s="41" t="n"/>
      <c r="H70" s="41" t="n"/>
      <c r="I70" s="29" t="n"/>
      <c r="J70" s="42">
        <f>IF(OR(G70="",H70="",G$68="",H$68=""),"",SQRT((G70-G$68)^2+(H70-H$68)^2))</f>
        <v/>
      </c>
      <c r="K70" s="34" t="n"/>
    </row>
    <row r="71">
      <c r="A71" s="25" t="inlineStr">
        <is>
          <t>Vishay</t>
        </is>
      </c>
      <c r="B71" s="26" t="inlineStr">
        <is>
          <t>20 mm</t>
        </is>
      </c>
      <c r="C71" s="27" t="n">
        <v>1</v>
      </c>
      <c r="D71" s="53" t="n">
        <v>67.5</v>
      </c>
      <c r="E71" s="29" t="n"/>
      <c r="F71" s="29" t="n"/>
      <c r="G71" s="41" t="n"/>
      <c r="H71" s="41" t="n"/>
      <c r="I71" s="29" t="n"/>
      <c r="J71" s="42">
        <f>IF(OR(G71="",H71="",G$68="",H$68=""),"",SQRT((G71-G$68)^2+(H71-H$68)^2))</f>
        <v/>
      </c>
      <c r="K71" s="34" t="n"/>
    </row>
    <row r="72">
      <c r="A72" s="25" t="inlineStr">
        <is>
          <t>Vishay</t>
        </is>
      </c>
      <c r="B72" s="26" t="inlineStr">
        <is>
          <t>20 mm</t>
        </is>
      </c>
      <c r="C72" s="27" t="n">
        <v>1</v>
      </c>
      <c r="D72" s="53" t="n">
        <v>90</v>
      </c>
      <c r="E72" s="29" t="n"/>
      <c r="F72" s="29" t="n"/>
      <c r="G72" s="41" t="n"/>
      <c r="H72" s="41" t="n"/>
      <c r="I72" s="29" t="n"/>
      <c r="J72" s="42">
        <f>IF(OR(G72="",H72="",G$68="",H$68=""),"",SQRT((G72-G$68)^2+(H72-H$68)^2))</f>
        <v/>
      </c>
      <c r="K72" s="34" t="n"/>
    </row>
    <row r="73">
      <c r="A73" s="25" t="inlineStr">
        <is>
          <t>Everlight</t>
        </is>
      </c>
      <c r="B73" s="26" t="inlineStr">
        <is>
          <t>20 mm</t>
        </is>
      </c>
      <c r="C73" s="27" t="n">
        <v>1</v>
      </c>
      <c r="D73" s="53" t="n">
        <v>0</v>
      </c>
      <c r="E73" s="29" t="n"/>
      <c r="F73" s="29" t="n"/>
      <c r="G73" s="41" t="n"/>
      <c r="H73" s="41" t="n"/>
      <c r="I73" s="29" t="n"/>
      <c r="J73" s="42">
        <f>IF(OR(G73="",H73="",G$73="",H$73=""),"",SQRT((G73-G$73)^2+(H73-H$73)^2))</f>
        <v/>
      </c>
      <c r="K73" s="34" t="n"/>
    </row>
    <row r="74">
      <c r="A74" s="25" t="inlineStr">
        <is>
          <t>Everlight</t>
        </is>
      </c>
      <c r="B74" s="26" t="inlineStr">
        <is>
          <t>20 mm</t>
        </is>
      </c>
      <c r="C74" s="27" t="n">
        <v>1</v>
      </c>
      <c r="D74" s="53" t="n">
        <v>22.5</v>
      </c>
      <c r="E74" s="29" t="n"/>
      <c r="F74" s="29" t="n"/>
      <c r="G74" s="41" t="n"/>
      <c r="H74" s="41" t="n"/>
      <c r="I74" s="29" t="n"/>
      <c r="J74" s="42">
        <f>IF(OR(G74="",H74="",G$73="",H$73=""),"",SQRT((G74-G$73)^2+(H74-H$73)^2))</f>
        <v/>
      </c>
      <c r="K74" s="34" t="n"/>
    </row>
    <row r="75">
      <c r="A75" s="25" t="inlineStr">
        <is>
          <t>Everlight</t>
        </is>
      </c>
      <c r="B75" s="26" t="inlineStr">
        <is>
          <t>20 mm</t>
        </is>
      </c>
      <c r="C75" s="27" t="n">
        <v>1</v>
      </c>
      <c r="D75" s="53" t="n">
        <v>45</v>
      </c>
      <c r="E75" s="29" t="n"/>
      <c r="F75" s="29" t="n"/>
      <c r="G75" s="41" t="n"/>
      <c r="H75" s="41" t="n"/>
      <c r="I75" s="29" t="n"/>
      <c r="J75" s="42">
        <f>IF(OR(G75="",H75="",G$73="",H$73=""),"",SQRT((G75-G$73)^2+(H75-H$73)^2))</f>
        <v/>
      </c>
      <c r="K75" s="34" t="n"/>
    </row>
    <row r="76">
      <c r="A76" s="25" t="inlineStr">
        <is>
          <t>Everlight</t>
        </is>
      </c>
      <c r="B76" s="26" t="inlineStr">
        <is>
          <t>20 mm</t>
        </is>
      </c>
      <c r="C76" s="27" t="n">
        <v>1</v>
      </c>
      <c r="D76" s="53" t="n">
        <v>67.5</v>
      </c>
      <c r="E76" s="29" t="n"/>
      <c r="F76" s="29" t="n"/>
      <c r="G76" s="41" t="n"/>
      <c r="H76" s="41" t="n"/>
      <c r="I76" s="29" t="n"/>
      <c r="J76" s="42">
        <f>IF(OR(G76="",H76="",G$73="",H$73=""),"",SQRT((G76-G$73)^2+(H76-H$73)^2))</f>
        <v/>
      </c>
      <c r="K76" s="34" t="n"/>
    </row>
    <row r="77">
      <c r="A77" s="25" t="inlineStr">
        <is>
          <t>Everlight</t>
        </is>
      </c>
      <c r="B77" s="26" t="inlineStr">
        <is>
          <t>20 mm</t>
        </is>
      </c>
      <c r="C77" s="27" t="n">
        <v>1</v>
      </c>
      <c r="D77" s="53" t="n">
        <v>90</v>
      </c>
      <c r="E77" s="29" t="n"/>
      <c r="F77" s="29" t="n"/>
      <c r="G77" s="41" t="n"/>
      <c r="H77" s="41" t="n"/>
      <c r="I77" s="29" t="n"/>
      <c r="J77" s="42">
        <f>IF(OR(G77="",H77="",G$73="",H$73=""),"",SQRT((G77-G$73)^2+(H77-H$73)^2))</f>
        <v/>
      </c>
      <c r="K77" s="34" t="n"/>
    </row>
    <row r="78">
      <c r="A78" s="25" t="inlineStr">
        <is>
          <t>XL</t>
        </is>
      </c>
      <c r="B78" s="26" t="inlineStr">
        <is>
          <t>20 mm</t>
        </is>
      </c>
      <c r="C78" s="27" t="n">
        <v>1</v>
      </c>
      <c r="D78" s="53" t="n">
        <v>0</v>
      </c>
      <c r="E78" s="29" t="n"/>
      <c r="F78" s="29" t="n"/>
      <c r="G78" s="41" t="n"/>
      <c r="H78" s="41" t="n"/>
      <c r="I78" s="29" t="n"/>
      <c r="J78" s="42">
        <f>IF(OR(G78="",H78="",G$78="",H$78=""),"",SQRT((G78-G$78)^2+(H78-H$78)^2))</f>
        <v/>
      </c>
      <c r="K78" s="34" t="n"/>
    </row>
    <row r="79">
      <c r="A79" s="25" t="inlineStr">
        <is>
          <t>XL</t>
        </is>
      </c>
      <c r="B79" s="26" t="inlineStr">
        <is>
          <t>20 mm</t>
        </is>
      </c>
      <c r="C79" s="27" t="n">
        <v>1</v>
      </c>
      <c r="D79" s="53" t="n">
        <v>22.5</v>
      </c>
      <c r="E79" s="29" t="n"/>
      <c r="F79" s="29" t="n"/>
      <c r="G79" s="41" t="n"/>
      <c r="H79" s="41" t="n"/>
      <c r="I79" s="29" t="n"/>
      <c r="J79" s="42">
        <f>IF(OR(G79="",H79="",G$78="",H$78=""),"",SQRT((G79-G$78)^2+(H79-H$78)^2))</f>
        <v/>
      </c>
      <c r="K79" s="34" t="n"/>
    </row>
    <row r="80">
      <c r="A80" s="25" t="inlineStr">
        <is>
          <t>XL</t>
        </is>
      </c>
      <c r="B80" s="26" t="inlineStr">
        <is>
          <t>20 mm</t>
        </is>
      </c>
      <c r="C80" s="27" t="n">
        <v>1</v>
      </c>
      <c r="D80" s="53" t="n">
        <v>45</v>
      </c>
      <c r="E80" s="29" t="n"/>
      <c r="F80" s="29" t="n"/>
      <c r="G80" s="41" t="n"/>
      <c r="H80" s="41" t="n"/>
      <c r="I80" s="29" t="n"/>
      <c r="J80" s="42">
        <f>IF(OR(G80="",H80="",G$78="",H$78=""),"",SQRT((G80-G$78)^2+(H80-H$78)^2))</f>
        <v/>
      </c>
      <c r="K80" s="34" t="n"/>
    </row>
    <row r="81">
      <c r="A81" s="25" t="inlineStr">
        <is>
          <t>XL</t>
        </is>
      </c>
      <c r="B81" s="26" t="inlineStr">
        <is>
          <t>20 mm</t>
        </is>
      </c>
      <c r="C81" s="27" t="n">
        <v>1</v>
      </c>
      <c r="D81" s="53" t="n">
        <v>67.5</v>
      </c>
      <c r="E81" s="29" t="n"/>
      <c r="F81" s="29" t="n"/>
      <c r="G81" s="41" t="n"/>
      <c r="H81" s="41" t="n"/>
      <c r="I81" s="29" t="n"/>
      <c r="J81" s="42">
        <f>IF(OR(G81="",H81="",G$78="",H$78=""),"",SQRT((G81-G$78)^2+(H81-H$78)^2))</f>
        <v/>
      </c>
      <c r="K81" s="34" t="n"/>
    </row>
    <row r="82">
      <c r="A82" s="25" t="inlineStr">
        <is>
          <t>XL</t>
        </is>
      </c>
      <c r="B82" s="26" t="inlineStr">
        <is>
          <t>20 mm</t>
        </is>
      </c>
      <c r="C82" s="27" t="n">
        <v>1</v>
      </c>
      <c r="D82" s="53" t="n">
        <v>90</v>
      </c>
      <c r="E82" s="29" t="n"/>
      <c r="F82" s="29" t="n"/>
      <c r="G82" s="41" t="n"/>
      <c r="H82" s="41" t="n"/>
      <c r="I82" s="29" t="n"/>
      <c r="J82" s="42">
        <f>IF(OR(G82="",H82="",G$78="",H$78=""),"",SQRT((G82-G$78)^2+(H82-H$78)^2))</f>
        <v/>
      </c>
      <c r="K82" s="34" t="n"/>
    </row>
    <row r="83">
      <c r="A83" s="25" t="inlineStr">
        <is>
          <t>Kingbright</t>
        </is>
      </c>
      <c r="B83" s="26" t="inlineStr">
        <is>
          <t>20 mm</t>
        </is>
      </c>
      <c r="C83" s="27" t="n">
        <v>1</v>
      </c>
      <c r="D83" s="53" t="n">
        <v>0</v>
      </c>
      <c r="E83" s="29" t="n"/>
      <c r="F83" s="29" t="n"/>
      <c r="G83" s="41" t="n"/>
      <c r="H83" s="41" t="n"/>
      <c r="I83" s="29" t="n"/>
      <c r="J83" s="42">
        <f>IF(OR(G83="",H83="",G$83="",H$83=""),"",SQRT((G83-G$83)^2+(H83-H$83)^2))</f>
        <v/>
      </c>
      <c r="K83" s="34" t="n"/>
    </row>
    <row r="84">
      <c r="A84" s="25" t="inlineStr">
        <is>
          <t>Kingbright</t>
        </is>
      </c>
      <c r="B84" s="26" t="inlineStr">
        <is>
          <t>20 mm</t>
        </is>
      </c>
      <c r="C84" s="27" t="n">
        <v>1</v>
      </c>
      <c r="D84" s="53" t="n">
        <v>22.5</v>
      </c>
      <c r="E84" s="29" t="n"/>
      <c r="F84" s="29" t="n"/>
      <c r="G84" s="41" t="n"/>
      <c r="H84" s="41" t="n"/>
      <c r="I84" s="29" t="n"/>
      <c r="J84" s="42">
        <f>IF(OR(G84="",H84="",G$83="",H$83=""),"",SQRT((G84-G$83)^2+(H84-H$83)^2))</f>
        <v/>
      </c>
      <c r="K84" s="34" t="n"/>
    </row>
    <row r="85">
      <c r="A85" s="25" t="inlineStr">
        <is>
          <t>Kingbright</t>
        </is>
      </c>
      <c r="B85" s="26" t="inlineStr">
        <is>
          <t>20 mm</t>
        </is>
      </c>
      <c r="C85" s="27" t="n">
        <v>1</v>
      </c>
      <c r="D85" s="53" t="n">
        <v>45</v>
      </c>
      <c r="E85" s="29" t="n"/>
      <c r="F85" s="29" t="n"/>
      <c r="G85" s="41" t="n"/>
      <c r="H85" s="41" t="n"/>
      <c r="I85" s="29" t="n"/>
      <c r="J85" s="42">
        <f>IF(OR(G85="",H85="",G$83="",H$83=""),"",SQRT((G85-G$83)^2+(H85-H$83)^2))</f>
        <v/>
      </c>
      <c r="K85" s="34" t="n"/>
    </row>
    <row r="86">
      <c r="A86" s="25" t="inlineStr">
        <is>
          <t>Kingbright</t>
        </is>
      </c>
      <c r="B86" s="26" t="inlineStr">
        <is>
          <t>20 mm</t>
        </is>
      </c>
      <c r="C86" s="27" t="n">
        <v>1</v>
      </c>
      <c r="D86" s="53" t="n">
        <v>67.5</v>
      </c>
      <c r="E86" s="29" t="n"/>
      <c r="F86" s="29" t="n"/>
      <c r="G86" s="41" t="n"/>
      <c r="H86" s="41" t="n"/>
      <c r="I86" s="29" t="n"/>
      <c r="J86" s="42">
        <f>IF(OR(G86="",H86="",G$83="",H$83=""),"",SQRT((G86-G$83)^2+(H86-H$83)^2))</f>
        <v/>
      </c>
      <c r="K86" s="34" t="n"/>
    </row>
    <row r="87">
      <c r="A87" s="25" t="inlineStr">
        <is>
          <t>Kingbright</t>
        </is>
      </c>
      <c r="B87" s="26" t="inlineStr">
        <is>
          <t>20 mm</t>
        </is>
      </c>
      <c r="C87" s="27" t="n">
        <v>1</v>
      </c>
      <c r="D87" s="53" t="n">
        <v>90</v>
      </c>
      <c r="E87" s="29" t="n"/>
      <c r="F87" s="29" t="n"/>
      <c r="G87" s="41" t="n"/>
      <c r="H87" s="41" t="n"/>
      <c r="I87" s="29" t="n"/>
      <c r="J87" s="42">
        <f>IF(OR(G87="",H87="",G$83="",H$83=""),"",SQRT((G87-G$83)^2+(H87-H$83)^2))</f>
        <v/>
      </c>
      <c r="K87" s="34" t="n"/>
    </row>
    <row r="88">
      <c r="A88" s="15" t="inlineStr">
        <is>
          <t>Vishay</t>
        </is>
      </c>
      <c r="B88" s="16" t="inlineStr">
        <is>
          <t>25 mm</t>
        </is>
      </c>
      <c r="C88" s="17" t="n">
        <v>1</v>
      </c>
      <c r="D88" s="57" t="n">
        <v>0</v>
      </c>
      <c r="E88" s="19" t="n"/>
      <c r="F88" s="19" t="n"/>
      <c r="G88" s="39" t="n"/>
      <c r="H88" s="39" t="n"/>
      <c r="I88" s="19" t="n"/>
      <c r="J88" s="40">
        <f>IF(OR(G88="",H88="",G$88="",H$88=""),"",SQRT((G88-G$88)^2+(H88-H$88)^2))</f>
        <v/>
      </c>
      <c r="K88" s="24" t="n"/>
    </row>
    <row r="89">
      <c r="A89" s="25" t="inlineStr">
        <is>
          <t>Vishay</t>
        </is>
      </c>
      <c r="B89" s="26" t="inlineStr">
        <is>
          <t>25 mm</t>
        </is>
      </c>
      <c r="C89" s="27" t="n">
        <v>1</v>
      </c>
      <c r="D89" s="53" t="n">
        <v>22.5</v>
      </c>
      <c r="E89" s="29" t="n"/>
      <c r="F89" s="29" t="n"/>
      <c r="G89" s="41" t="n"/>
      <c r="H89" s="41" t="n"/>
      <c r="I89" s="29" t="n"/>
      <c r="J89" s="42">
        <f>IF(OR(G89="",H89="",G$88="",H$88=""),"",SQRT((G89-G$88)^2+(H89-H$88)^2))</f>
        <v/>
      </c>
      <c r="K89" s="34" t="n"/>
    </row>
    <row r="90">
      <c r="A90" s="25" t="inlineStr">
        <is>
          <t>Vishay</t>
        </is>
      </c>
      <c r="B90" s="26" t="inlineStr">
        <is>
          <t>25 mm</t>
        </is>
      </c>
      <c r="C90" s="27" t="n">
        <v>1</v>
      </c>
      <c r="D90" s="53" t="n">
        <v>45</v>
      </c>
      <c r="E90" s="29" t="n"/>
      <c r="F90" s="29" t="n"/>
      <c r="G90" s="41" t="n"/>
      <c r="H90" s="41" t="n"/>
      <c r="I90" s="29" t="n"/>
      <c r="J90" s="42">
        <f>IF(OR(G90="",H90="",G$88="",H$88=""),"",SQRT((G90-G$88)^2+(H90-H$88)^2))</f>
        <v/>
      </c>
      <c r="K90" s="34" t="n"/>
    </row>
    <row r="91">
      <c r="A91" s="25" t="inlineStr">
        <is>
          <t>Vishay</t>
        </is>
      </c>
      <c r="B91" s="26" t="inlineStr">
        <is>
          <t>25 mm</t>
        </is>
      </c>
      <c r="C91" s="27" t="n">
        <v>1</v>
      </c>
      <c r="D91" s="53" t="n">
        <v>67.5</v>
      </c>
      <c r="E91" s="29" t="n"/>
      <c r="F91" s="29" t="n"/>
      <c r="G91" s="41" t="n"/>
      <c r="H91" s="41" t="n"/>
      <c r="I91" s="29" t="n"/>
      <c r="J91" s="42">
        <f>IF(OR(G91="",H91="",G$88="",H$88=""),"",SQRT((G91-G$88)^2+(H91-H$88)^2))</f>
        <v/>
      </c>
      <c r="K91" s="34" t="n"/>
    </row>
    <row r="92">
      <c r="A92" s="25" t="inlineStr">
        <is>
          <t>Vishay</t>
        </is>
      </c>
      <c r="B92" s="26" t="inlineStr">
        <is>
          <t>25 mm</t>
        </is>
      </c>
      <c r="C92" s="27" t="n">
        <v>1</v>
      </c>
      <c r="D92" s="53" t="n">
        <v>90</v>
      </c>
      <c r="E92" s="29" t="n"/>
      <c r="F92" s="29" t="n"/>
      <c r="G92" s="41" t="n"/>
      <c r="H92" s="41" t="n"/>
      <c r="I92" s="29" t="n"/>
      <c r="J92" s="42">
        <f>IF(OR(G92="",H92="",G$88="",H$88=""),"",SQRT((G92-G$88)^2+(H92-H$88)^2))</f>
        <v/>
      </c>
      <c r="K92" s="34" t="n"/>
    </row>
    <row r="93">
      <c r="A93" s="25" t="inlineStr">
        <is>
          <t>Everlight</t>
        </is>
      </c>
      <c r="B93" s="26" t="inlineStr">
        <is>
          <t>25 mm</t>
        </is>
      </c>
      <c r="C93" s="27" t="n">
        <v>1</v>
      </c>
      <c r="D93" s="53" t="n">
        <v>0</v>
      </c>
      <c r="E93" s="29" t="n"/>
      <c r="F93" s="29" t="n"/>
      <c r="G93" s="41" t="n"/>
      <c r="H93" s="41" t="n"/>
      <c r="I93" s="29" t="n"/>
      <c r="J93" s="42">
        <f>IF(OR(G93="",H93="",G$93="",H$93=""),"",SQRT((G93-G$93)^2+(H93-H$93)^2))</f>
        <v/>
      </c>
      <c r="K93" s="34" t="n"/>
    </row>
    <row r="94">
      <c r="A94" s="25" t="inlineStr">
        <is>
          <t>Everlight</t>
        </is>
      </c>
      <c r="B94" s="26" t="inlineStr">
        <is>
          <t>25 mm</t>
        </is>
      </c>
      <c r="C94" s="27" t="n">
        <v>1</v>
      </c>
      <c r="D94" s="53" t="n">
        <v>22.5</v>
      </c>
      <c r="E94" s="29" t="n"/>
      <c r="F94" s="29" t="n"/>
      <c r="G94" s="41" t="n"/>
      <c r="H94" s="41" t="n"/>
      <c r="I94" s="29" t="n"/>
      <c r="J94" s="42">
        <f>IF(OR(G94="",H94="",G$93="",H$93=""),"",SQRT((G94-G$93)^2+(H94-H$93)^2))</f>
        <v/>
      </c>
      <c r="K94" s="34" t="n"/>
    </row>
    <row r="95">
      <c r="A95" s="25" t="inlineStr">
        <is>
          <t>Everlight</t>
        </is>
      </c>
      <c r="B95" s="26" t="inlineStr">
        <is>
          <t>25 mm</t>
        </is>
      </c>
      <c r="C95" s="27" t="n">
        <v>1</v>
      </c>
      <c r="D95" s="53" t="n">
        <v>45</v>
      </c>
      <c r="E95" s="29" t="n"/>
      <c r="F95" s="29" t="n"/>
      <c r="G95" s="41" t="n"/>
      <c r="H95" s="41" t="n"/>
      <c r="I95" s="29" t="n"/>
      <c r="J95" s="42">
        <f>IF(OR(G95="",H95="",G$93="",H$93=""),"",SQRT((G95-G$93)^2+(H95-H$93)^2))</f>
        <v/>
      </c>
      <c r="K95" s="34" t="n"/>
    </row>
    <row r="96">
      <c r="A96" s="25" t="inlineStr">
        <is>
          <t>Everlight</t>
        </is>
      </c>
      <c r="B96" s="26" t="inlineStr">
        <is>
          <t>25 mm</t>
        </is>
      </c>
      <c r="C96" s="27" t="n">
        <v>1</v>
      </c>
      <c r="D96" s="53" t="n">
        <v>67.5</v>
      </c>
      <c r="E96" s="29" t="n"/>
      <c r="F96" s="29" t="n"/>
      <c r="G96" s="41" t="n"/>
      <c r="H96" s="41" t="n"/>
      <c r="I96" s="29" t="n"/>
      <c r="J96" s="42">
        <f>IF(OR(G96="",H96="",G$93="",H$93=""),"",SQRT((G96-G$93)^2+(H96-H$93)^2))</f>
        <v/>
      </c>
      <c r="K96" s="34" t="n"/>
    </row>
    <row r="97">
      <c r="A97" s="25" t="inlineStr">
        <is>
          <t>Everlight</t>
        </is>
      </c>
      <c r="B97" s="26" t="inlineStr">
        <is>
          <t>25 mm</t>
        </is>
      </c>
      <c r="C97" s="27" t="n">
        <v>1</v>
      </c>
      <c r="D97" s="53" t="n">
        <v>90</v>
      </c>
      <c r="E97" s="29" t="n"/>
      <c r="F97" s="29" t="n"/>
      <c r="G97" s="41" t="n"/>
      <c r="H97" s="41" t="n"/>
      <c r="I97" s="29" t="n"/>
      <c r="J97" s="42">
        <f>IF(OR(G97="",H97="",G$93="",H$93=""),"",SQRT((G97-G$93)^2+(H97-H$93)^2))</f>
        <v/>
      </c>
      <c r="K97" s="34" t="n"/>
    </row>
    <row r="98">
      <c r="A98" s="25" t="inlineStr">
        <is>
          <t>XL</t>
        </is>
      </c>
      <c r="B98" s="26" t="inlineStr">
        <is>
          <t>25 mm</t>
        </is>
      </c>
      <c r="C98" s="27" t="n">
        <v>1</v>
      </c>
      <c r="D98" s="53" t="n">
        <v>0</v>
      </c>
      <c r="E98" s="29" t="n"/>
      <c r="F98" s="29" t="n"/>
      <c r="G98" s="41" t="n"/>
      <c r="H98" s="41" t="n"/>
      <c r="I98" s="29" t="n"/>
      <c r="J98" s="42">
        <f>IF(OR(G98="",H98="",G$98="",H$98=""),"",SQRT((G98-G$98)^2+(H98-H$98)^2))</f>
        <v/>
      </c>
      <c r="K98" s="34" t="n"/>
    </row>
    <row r="99">
      <c r="A99" s="25" t="inlineStr">
        <is>
          <t>XL</t>
        </is>
      </c>
      <c r="B99" s="26" t="inlineStr">
        <is>
          <t>25 mm</t>
        </is>
      </c>
      <c r="C99" s="27" t="n">
        <v>1</v>
      </c>
      <c r="D99" s="53" t="n">
        <v>22.5</v>
      </c>
      <c r="E99" s="29" t="n"/>
      <c r="F99" s="29" t="n"/>
      <c r="G99" s="41" t="n"/>
      <c r="H99" s="41" t="n"/>
      <c r="I99" s="29" t="n"/>
      <c r="J99" s="42">
        <f>IF(OR(G99="",H99="",G$98="",H$98=""),"",SQRT((G99-G$98)^2+(H99-H$98)^2))</f>
        <v/>
      </c>
      <c r="K99" s="34" t="n"/>
    </row>
    <row r="100">
      <c r="A100" s="25" t="inlineStr">
        <is>
          <t>XL</t>
        </is>
      </c>
      <c r="B100" s="26" t="inlineStr">
        <is>
          <t>25 mm</t>
        </is>
      </c>
      <c r="C100" s="27" t="n">
        <v>1</v>
      </c>
      <c r="D100" s="53" t="n">
        <v>45</v>
      </c>
      <c r="E100" s="29" t="n"/>
      <c r="F100" s="29" t="n"/>
      <c r="G100" s="41" t="n"/>
      <c r="H100" s="41" t="n"/>
      <c r="I100" s="29" t="n"/>
      <c r="J100" s="42">
        <f>IF(OR(G100="",H100="",G$98="",H$98=""),"",SQRT((G100-G$98)^2+(H100-H$98)^2))</f>
        <v/>
      </c>
      <c r="K100" s="34" t="n"/>
    </row>
    <row r="101">
      <c r="A101" s="25" t="inlineStr">
        <is>
          <t>XL</t>
        </is>
      </c>
      <c r="B101" s="26" t="inlineStr">
        <is>
          <t>25 mm</t>
        </is>
      </c>
      <c r="C101" s="27" t="n">
        <v>1</v>
      </c>
      <c r="D101" s="53" t="n">
        <v>67.5</v>
      </c>
      <c r="E101" s="29" t="n"/>
      <c r="F101" s="29" t="n"/>
      <c r="G101" s="41" t="n"/>
      <c r="H101" s="41" t="n"/>
      <c r="I101" s="29" t="n"/>
      <c r="J101" s="42">
        <f>IF(OR(G101="",H101="",G$98="",H$98=""),"",SQRT((G101-G$98)^2+(H101-H$98)^2))</f>
        <v/>
      </c>
      <c r="K101" s="34" t="n"/>
    </row>
    <row r="102">
      <c r="A102" s="25" t="inlineStr">
        <is>
          <t>XL</t>
        </is>
      </c>
      <c r="B102" s="26" t="inlineStr">
        <is>
          <t>25 mm</t>
        </is>
      </c>
      <c r="C102" s="27" t="n">
        <v>1</v>
      </c>
      <c r="D102" s="53" t="n">
        <v>90</v>
      </c>
      <c r="E102" s="29" t="n"/>
      <c r="F102" s="29" t="n"/>
      <c r="G102" s="41" t="n"/>
      <c r="H102" s="41" t="n"/>
      <c r="I102" s="29" t="n"/>
      <c r="J102" s="42">
        <f>IF(OR(G102="",H102="",G$98="",H$98=""),"",SQRT((G102-G$98)^2+(H102-H$98)^2))</f>
        <v/>
      </c>
      <c r="K102" s="34" t="n"/>
    </row>
    <row r="103">
      <c r="A103" s="25" t="inlineStr">
        <is>
          <t>Kingbright</t>
        </is>
      </c>
      <c r="B103" s="26" t="inlineStr">
        <is>
          <t>25 mm</t>
        </is>
      </c>
      <c r="C103" s="27" t="n">
        <v>1</v>
      </c>
      <c r="D103" s="53" t="n">
        <v>0</v>
      </c>
      <c r="E103" s="29" t="n"/>
      <c r="F103" s="29" t="n"/>
      <c r="G103" s="41" t="n"/>
      <c r="H103" s="41" t="n"/>
      <c r="I103" s="29" t="n"/>
      <c r="J103" s="42">
        <f>IF(OR(G103="",H103="",G$103="",H$103=""),"",SQRT((G103-G$103)^2+(H103-H$103)^2))</f>
        <v/>
      </c>
      <c r="K103" s="34" t="n"/>
    </row>
    <row r="104">
      <c r="A104" s="25" t="inlineStr">
        <is>
          <t>Kingbright</t>
        </is>
      </c>
      <c r="B104" s="26" t="inlineStr">
        <is>
          <t>25 mm</t>
        </is>
      </c>
      <c r="C104" s="27" t="n">
        <v>1</v>
      </c>
      <c r="D104" s="53" t="n">
        <v>22.5</v>
      </c>
      <c r="E104" s="29" t="n"/>
      <c r="F104" s="29" t="n"/>
      <c r="G104" s="41" t="n"/>
      <c r="H104" s="41" t="n"/>
      <c r="I104" s="29" t="n"/>
      <c r="J104" s="42">
        <f>IF(OR(G104="",H104="",G$103="",H$103=""),"",SQRT((G104-G$103)^2+(H104-H$103)^2))</f>
        <v/>
      </c>
      <c r="K104" s="34" t="n"/>
    </row>
    <row r="105">
      <c r="A105" s="25" t="inlineStr">
        <is>
          <t>Kingbright</t>
        </is>
      </c>
      <c r="B105" s="26" t="inlineStr">
        <is>
          <t>25 mm</t>
        </is>
      </c>
      <c r="C105" s="27" t="n">
        <v>1</v>
      </c>
      <c r="D105" s="53" t="n">
        <v>45</v>
      </c>
      <c r="E105" s="29" t="n"/>
      <c r="F105" s="29" t="n"/>
      <c r="G105" s="41" t="n"/>
      <c r="H105" s="41" t="n"/>
      <c r="I105" s="29" t="n"/>
      <c r="J105" s="42">
        <f>IF(OR(G105="",H105="",G$103="",H$103=""),"",SQRT((G105-G$103)^2+(H105-H$103)^2))</f>
        <v/>
      </c>
      <c r="K105" s="34" t="n"/>
    </row>
    <row r="106">
      <c r="A106" s="25" t="inlineStr">
        <is>
          <t>Kingbright</t>
        </is>
      </c>
      <c r="B106" s="26" t="inlineStr">
        <is>
          <t>25 mm</t>
        </is>
      </c>
      <c r="C106" s="27" t="n">
        <v>1</v>
      </c>
      <c r="D106" s="53" t="n">
        <v>67.5</v>
      </c>
      <c r="E106" s="29" t="n"/>
      <c r="F106" s="29" t="n"/>
      <c r="G106" s="41" t="n"/>
      <c r="H106" s="41" t="n"/>
      <c r="I106" s="29" t="n"/>
      <c r="J106" s="42">
        <f>IF(OR(G106="",H106="",G$103="",H$103=""),"",SQRT((G106-G$103)^2+(H106-H$103)^2))</f>
        <v/>
      </c>
      <c r="K106" s="34" t="n"/>
    </row>
    <row r="107">
      <c r="A107" s="25" t="inlineStr">
        <is>
          <t>Kingbright</t>
        </is>
      </c>
      <c r="B107" s="26" t="inlineStr">
        <is>
          <t>25 mm</t>
        </is>
      </c>
      <c r="C107" s="27" t="n">
        <v>1</v>
      </c>
      <c r="D107" s="53" t="n">
        <v>90</v>
      </c>
      <c r="E107" s="29" t="n"/>
      <c r="F107" s="29" t="n"/>
      <c r="G107" s="41" t="n"/>
      <c r="H107" s="41" t="n"/>
      <c r="I107" s="29" t="n"/>
      <c r="J107" s="42">
        <f>IF(OR(G107="",H107="",G$103="",H$103=""),"",SQRT((G107-G$103)^2+(H107-H$103)^2))</f>
        <v/>
      </c>
      <c r="K107" s="34" t="n"/>
    </row>
  </sheetData>
  <pageMargins left="0.75" right="0.75" top="1" bottom="1" header="0.5" footer="0.5"/>
</worksheet>
</file>

<file path=xl/worksheets/sheet6.xml><?xml version="1.0" encoding="utf-8"?>
<worksheet xmlns="http://schemas.openxmlformats.org/spreadsheetml/2006/main">
  <sheetPr>
    <tabColor rgb="FF1F3864"/>
    <outlinePr summaryBelow="1" summaryRight="1"/>
    <pageSetUpPr/>
  </sheetPr>
  <dimension ref="A1:O91"/>
  <sheetViews>
    <sheetView showGridLines="0" workbookViewId="0">
      <pane ySplit="3" topLeftCell="A4" activePane="bottomLeft" state="frozen"/>
      <selection pane="bottomLeft" activeCell="A1" sqref="A1"/>
    </sheetView>
  </sheetViews>
  <sheetFormatPr baseColWidth="10" defaultColWidth="8.83203125" defaultRowHeight="15"/>
  <cols>
    <col width="13" customWidth="1" min="1" max="1"/>
    <col width="11" customWidth="1" min="2" max="2"/>
    <col width="9" customWidth="1" min="3" max="3"/>
    <col width="10" customWidth="1" min="4" max="6"/>
    <col width="9" customWidth="1" min="7" max="7"/>
    <col width="12" customWidth="1" min="8" max="8"/>
    <col width="9" customWidth="1" min="9" max="9"/>
    <col width="12" customWidth="1" min="10" max="10"/>
    <col width="11" customWidth="1" min="11" max="11"/>
    <col width="12" customWidth="1" min="12" max="12"/>
    <col width="34" customWidth="1" min="13" max="13"/>
  </cols>
  <sheetData>
    <row r="1" ht="18" customHeight="1">
      <c r="A1" s="6" t="inlineStr">
        <is>
          <t>TEST C - Range (sample 1 of each type / build)</t>
        </is>
      </c>
    </row>
    <row r="2">
      <c r="A2" s="7" t="inlineStr">
        <is>
          <t>Blue on yellow = fill in.  Black = calculated.  Each diffused marker holds FOUR LEDs in series off 9 V; 'bare (ref)' is a single LED, kept as a reference and never ranked.</t>
        </is>
      </c>
    </row>
    <row r="3" ht="30" customHeight="1">
      <c r="A3" s="8" t="inlineStr">
        <is>
          <t>LED Type</t>
        </is>
      </c>
      <c r="B3" s="8" t="inlineStr">
        <is>
          <t>Build</t>
        </is>
      </c>
      <c r="C3" s="8" t="inlineStr">
        <is>
          <t>Sample</t>
        </is>
      </c>
      <c r="D3" s="8" t="inlineStr">
        <is>
          <t>Distance
(m)</t>
        </is>
      </c>
      <c r="E3" s="8" t="inlineStr">
        <is>
          <t>Exposure
(us)</t>
        </is>
      </c>
      <c r="F3" s="8" t="inlineStr">
        <is>
          <t>Peak
(0-255)</t>
        </is>
      </c>
      <c r="G3" s="8" t="inlineStr">
        <is>
          <t>Sat px</t>
        </is>
      </c>
      <c r="H3" s="8" t="inlineStr">
        <is>
          <t>Sensor area
(px)</t>
        </is>
      </c>
      <c r="I3" s="8" t="inlineStr">
        <is>
          <t>blobs</t>
        </is>
      </c>
      <c r="J3" s="8" t="inlineStr">
        <is>
          <t>sigma_RMS
(px)</t>
        </is>
      </c>
      <c r="K3" s="8" t="inlineStr">
        <is>
          <t>Detected?
(Y/N)</t>
        </is>
      </c>
      <c r="L3" s="8" t="inlineStr">
        <is>
          <t>Valid range
(calc)</t>
        </is>
      </c>
      <c r="M3" s="8" t="inlineStr">
        <is>
          <t>Notes</t>
        </is>
      </c>
    </row>
    <row r="4">
      <c r="A4" s="15" t="inlineStr">
        <is>
          <t>Vishay</t>
        </is>
      </c>
      <c r="B4" s="16" t="inlineStr">
        <is>
          <t>bare (ref)</t>
        </is>
      </c>
      <c r="C4" s="17" t="n">
        <v>1</v>
      </c>
      <c r="D4" s="57" t="n">
        <v>1</v>
      </c>
      <c r="E4" s="19" t="n"/>
      <c r="F4" s="19" t="n"/>
      <c r="G4" s="58" t="n"/>
      <c r="H4" s="19" t="n"/>
      <c r="I4" s="19" t="n"/>
      <c r="J4" s="59" t="n"/>
      <c r="K4" s="43" t="n"/>
      <c r="L4" s="57">
        <f>IF(UPPER(K4)="Y",D4,0)</f>
        <v/>
      </c>
      <c r="M4" s="24" t="n"/>
    </row>
    <row r="5">
      <c r="A5" s="25" t="inlineStr">
        <is>
          <t>Vishay</t>
        </is>
      </c>
      <c r="B5" s="26" t="inlineStr">
        <is>
          <t>bare (ref)</t>
        </is>
      </c>
      <c r="C5" s="27" t="n">
        <v>1</v>
      </c>
      <c r="D5" s="53" t="n">
        <v>2</v>
      </c>
      <c r="E5" s="29" t="n"/>
      <c r="F5" s="29" t="n"/>
      <c r="G5" s="62" t="n"/>
      <c r="H5" s="29" t="n"/>
      <c r="I5" s="29" t="n"/>
      <c r="J5" s="63" t="n"/>
      <c r="K5" s="44" t="n"/>
      <c r="L5" s="53">
        <f>IF(UPPER(K5)="Y",D5,0)</f>
        <v/>
      </c>
      <c r="M5" s="34" t="n"/>
    </row>
    <row r="6">
      <c r="A6" s="25" t="inlineStr">
        <is>
          <t>Vishay</t>
        </is>
      </c>
      <c r="B6" s="26" t="inlineStr">
        <is>
          <t>bare (ref)</t>
        </is>
      </c>
      <c r="C6" s="27" t="n">
        <v>1</v>
      </c>
      <c r="D6" s="53" t="n">
        <v>3</v>
      </c>
      <c r="E6" s="29" t="n"/>
      <c r="F6" s="29" t="n"/>
      <c r="G6" s="62" t="n"/>
      <c r="H6" s="29" t="n"/>
      <c r="I6" s="29" t="n"/>
      <c r="J6" s="63" t="n"/>
      <c r="K6" s="44" t="n"/>
      <c r="L6" s="53">
        <f>IF(UPPER(K6)="Y",D6,0)</f>
        <v/>
      </c>
      <c r="M6" s="34" t="n"/>
    </row>
    <row r="7">
      <c r="A7" s="25" t="inlineStr">
        <is>
          <t>Vishay</t>
        </is>
      </c>
      <c r="B7" s="26" t="inlineStr">
        <is>
          <t>bare (ref)</t>
        </is>
      </c>
      <c r="C7" s="27" t="n">
        <v>1</v>
      </c>
      <c r="D7" s="53" t="n">
        <v>4</v>
      </c>
      <c r="E7" s="29" t="n"/>
      <c r="F7" s="29" t="n"/>
      <c r="G7" s="62" t="n"/>
      <c r="H7" s="29" t="n"/>
      <c r="I7" s="29" t="n"/>
      <c r="J7" s="63" t="n"/>
      <c r="K7" s="44" t="n"/>
      <c r="L7" s="53">
        <f>IF(UPPER(K7)="Y",D7,0)</f>
        <v/>
      </c>
      <c r="M7" s="34" t="n"/>
    </row>
    <row r="8">
      <c r="A8" s="25" t="inlineStr">
        <is>
          <t>Vishay</t>
        </is>
      </c>
      <c r="B8" s="26" t="inlineStr">
        <is>
          <t>bare (ref)</t>
        </is>
      </c>
      <c r="C8" s="27" t="n">
        <v>1</v>
      </c>
      <c r="D8" s="53" t="n">
        <v>5</v>
      </c>
      <c r="E8" s="29" t="n"/>
      <c r="F8" s="29" t="n"/>
      <c r="G8" s="62" t="n"/>
      <c r="H8" s="29" t="n"/>
      <c r="I8" s="29" t="n"/>
      <c r="J8" s="63" t="n"/>
      <c r="K8" s="44" t="n"/>
      <c r="L8" s="53">
        <f>IF(UPPER(K8)="Y",D8,0)</f>
        <v/>
      </c>
      <c r="M8" s="34" t="n"/>
    </row>
    <row r="9">
      <c r="A9" s="25" t="inlineStr">
        <is>
          <t>Everlight</t>
        </is>
      </c>
      <c r="B9" s="26" t="inlineStr">
        <is>
          <t>bare (ref)</t>
        </is>
      </c>
      <c r="C9" s="27" t="n">
        <v>1</v>
      </c>
      <c r="D9" s="53" t="n">
        <v>1</v>
      </c>
      <c r="E9" s="29" t="n"/>
      <c r="F9" s="29" t="n"/>
      <c r="G9" s="62" t="n"/>
      <c r="H9" s="29" t="n"/>
      <c r="I9" s="29" t="n"/>
      <c r="J9" s="63" t="n"/>
      <c r="K9" s="44" t="n"/>
      <c r="L9" s="53">
        <f>IF(UPPER(K9)="Y",D9,0)</f>
        <v/>
      </c>
      <c r="M9" s="34" t="n"/>
    </row>
    <row r="10">
      <c r="A10" s="25" t="inlineStr">
        <is>
          <t>Everlight</t>
        </is>
      </c>
      <c r="B10" s="26" t="inlineStr">
        <is>
          <t>bare (ref)</t>
        </is>
      </c>
      <c r="C10" s="27" t="n">
        <v>1</v>
      </c>
      <c r="D10" s="53" t="n">
        <v>2</v>
      </c>
      <c r="E10" s="29" t="n"/>
      <c r="F10" s="29" t="n"/>
      <c r="G10" s="62" t="n"/>
      <c r="H10" s="29" t="n"/>
      <c r="I10" s="29" t="n"/>
      <c r="J10" s="63" t="n"/>
      <c r="K10" s="44" t="n"/>
      <c r="L10" s="53">
        <f>IF(UPPER(K10)="Y",D10,0)</f>
        <v/>
      </c>
      <c r="M10" s="34" t="n"/>
    </row>
    <row r="11">
      <c r="A11" s="25" t="inlineStr">
        <is>
          <t>Everlight</t>
        </is>
      </c>
      <c r="B11" s="26" t="inlineStr">
        <is>
          <t>bare (ref)</t>
        </is>
      </c>
      <c r="C11" s="27" t="n">
        <v>1</v>
      </c>
      <c r="D11" s="53" t="n">
        <v>3</v>
      </c>
      <c r="E11" s="29" t="n"/>
      <c r="F11" s="29" t="n"/>
      <c r="G11" s="62" t="n"/>
      <c r="H11" s="29" t="n"/>
      <c r="I11" s="29" t="n"/>
      <c r="J11" s="63" t="n"/>
      <c r="K11" s="44" t="n"/>
      <c r="L11" s="53">
        <f>IF(UPPER(K11)="Y",D11,0)</f>
        <v/>
      </c>
      <c r="M11" s="34" t="n"/>
    </row>
    <row r="12">
      <c r="A12" s="25" t="inlineStr">
        <is>
          <t>Everlight</t>
        </is>
      </c>
      <c r="B12" s="26" t="inlineStr">
        <is>
          <t>bare (ref)</t>
        </is>
      </c>
      <c r="C12" s="27" t="n">
        <v>1</v>
      </c>
      <c r="D12" s="53" t="n">
        <v>4</v>
      </c>
      <c r="E12" s="29" t="n"/>
      <c r="F12" s="29" t="n"/>
      <c r="G12" s="62" t="n"/>
      <c r="H12" s="29" t="n"/>
      <c r="I12" s="29" t="n"/>
      <c r="J12" s="63" t="n"/>
      <c r="K12" s="44" t="n"/>
      <c r="L12" s="53">
        <f>IF(UPPER(K12)="Y",D12,0)</f>
        <v/>
      </c>
      <c r="M12" s="34" t="n"/>
    </row>
    <row r="13">
      <c r="A13" s="25" t="inlineStr">
        <is>
          <t>Everlight</t>
        </is>
      </c>
      <c r="B13" s="26" t="inlineStr">
        <is>
          <t>bare (ref)</t>
        </is>
      </c>
      <c r="C13" s="27" t="n">
        <v>1</v>
      </c>
      <c r="D13" s="53" t="n">
        <v>5</v>
      </c>
      <c r="E13" s="29" t="n"/>
      <c r="F13" s="29" t="n"/>
      <c r="G13" s="62" t="n"/>
      <c r="H13" s="29" t="n"/>
      <c r="I13" s="29" t="n"/>
      <c r="J13" s="63" t="n"/>
      <c r="K13" s="44" t="n"/>
      <c r="L13" s="53">
        <f>IF(UPPER(K13)="Y",D13,0)</f>
        <v/>
      </c>
      <c r="M13" s="34" t="n"/>
    </row>
    <row r="14">
      <c r="A14" s="25" t="inlineStr">
        <is>
          <t>XL</t>
        </is>
      </c>
      <c r="B14" s="26" t="inlineStr">
        <is>
          <t>bare (ref)</t>
        </is>
      </c>
      <c r="C14" s="27" t="n">
        <v>1</v>
      </c>
      <c r="D14" s="53" t="n">
        <v>1</v>
      </c>
      <c r="E14" s="29" t="n"/>
      <c r="F14" s="29" t="n"/>
      <c r="G14" s="62" t="n"/>
      <c r="H14" s="29" t="n"/>
      <c r="I14" s="29" t="n"/>
      <c r="J14" s="63" t="n"/>
      <c r="K14" s="44" t="n"/>
      <c r="L14" s="53">
        <f>IF(UPPER(K14)="Y",D14,0)</f>
        <v/>
      </c>
      <c r="M14" s="34" t="n"/>
    </row>
    <row r="15">
      <c r="A15" s="25" t="inlineStr">
        <is>
          <t>XL</t>
        </is>
      </c>
      <c r="B15" s="26" t="inlineStr">
        <is>
          <t>bare (ref)</t>
        </is>
      </c>
      <c r="C15" s="27" t="n">
        <v>1</v>
      </c>
      <c r="D15" s="53" t="n">
        <v>2</v>
      </c>
      <c r="E15" s="29" t="n"/>
      <c r="F15" s="29" t="n"/>
      <c r="G15" s="62" t="n"/>
      <c r="H15" s="29" t="n"/>
      <c r="I15" s="29" t="n"/>
      <c r="J15" s="63" t="n"/>
      <c r="K15" s="44" t="n"/>
      <c r="L15" s="53">
        <f>IF(UPPER(K15)="Y",D15,0)</f>
        <v/>
      </c>
      <c r="M15" s="34" t="n"/>
    </row>
    <row r="16">
      <c r="A16" s="25" t="inlineStr">
        <is>
          <t>XL</t>
        </is>
      </c>
      <c r="B16" s="26" t="inlineStr">
        <is>
          <t>bare (ref)</t>
        </is>
      </c>
      <c r="C16" s="27" t="n">
        <v>1</v>
      </c>
      <c r="D16" s="53" t="n">
        <v>3</v>
      </c>
      <c r="E16" s="29" t="n"/>
      <c r="F16" s="29" t="n"/>
      <c r="G16" s="62" t="n"/>
      <c r="H16" s="29" t="n"/>
      <c r="I16" s="29" t="n"/>
      <c r="J16" s="63" t="n"/>
      <c r="K16" s="44" t="n"/>
      <c r="L16" s="53">
        <f>IF(UPPER(K16)="Y",D16,0)</f>
        <v/>
      </c>
      <c r="M16" s="34" t="n"/>
    </row>
    <row r="17">
      <c r="A17" s="25" t="inlineStr">
        <is>
          <t>XL</t>
        </is>
      </c>
      <c r="B17" s="26" t="inlineStr">
        <is>
          <t>bare (ref)</t>
        </is>
      </c>
      <c r="C17" s="27" t="n">
        <v>1</v>
      </c>
      <c r="D17" s="53" t="n">
        <v>4</v>
      </c>
      <c r="E17" s="29" t="n"/>
      <c r="F17" s="29" t="n"/>
      <c r="G17" s="62" t="n"/>
      <c r="H17" s="29" t="n"/>
      <c r="I17" s="29" t="n"/>
      <c r="J17" s="63" t="n"/>
      <c r="K17" s="44" t="n"/>
      <c r="L17" s="53">
        <f>IF(UPPER(K17)="Y",D17,0)</f>
        <v/>
      </c>
      <c r="M17" s="34" t="n"/>
    </row>
    <row r="18">
      <c r="A18" s="25" t="inlineStr">
        <is>
          <t>XL</t>
        </is>
      </c>
      <c r="B18" s="26" t="inlineStr">
        <is>
          <t>bare (ref)</t>
        </is>
      </c>
      <c r="C18" s="27" t="n">
        <v>1</v>
      </c>
      <c r="D18" s="53" t="n">
        <v>5</v>
      </c>
      <c r="E18" s="29" t="n"/>
      <c r="F18" s="29" t="n"/>
      <c r="G18" s="62" t="n"/>
      <c r="H18" s="29" t="n"/>
      <c r="I18" s="29" t="n"/>
      <c r="J18" s="63" t="n"/>
      <c r="K18" s="44" t="n"/>
      <c r="L18" s="53">
        <f>IF(UPPER(K18)="Y",D18,0)</f>
        <v/>
      </c>
      <c r="M18" s="34" t="n"/>
    </row>
    <row r="19">
      <c r="A19" s="25" t="inlineStr">
        <is>
          <t>Kingbright</t>
        </is>
      </c>
      <c r="B19" s="26" t="inlineStr">
        <is>
          <t>bare (ref)</t>
        </is>
      </c>
      <c r="C19" s="27" t="n">
        <v>1</v>
      </c>
      <c r="D19" s="53" t="n">
        <v>1</v>
      </c>
      <c r="E19" s="29" t="n"/>
      <c r="F19" s="29" t="n"/>
      <c r="G19" s="62" t="n"/>
      <c r="H19" s="29" t="n"/>
      <c r="I19" s="29" t="n"/>
      <c r="J19" s="63" t="n"/>
      <c r="K19" s="44" t="n"/>
      <c r="L19" s="53">
        <f>IF(UPPER(K19)="Y",D19,0)</f>
        <v/>
      </c>
      <c r="M19" s="34" t="n"/>
    </row>
    <row r="20">
      <c r="A20" s="25" t="inlineStr">
        <is>
          <t>Kingbright</t>
        </is>
      </c>
      <c r="B20" s="26" t="inlineStr">
        <is>
          <t>bare (ref)</t>
        </is>
      </c>
      <c r="C20" s="27" t="n">
        <v>1</v>
      </c>
      <c r="D20" s="53" t="n">
        <v>2</v>
      </c>
      <c r="E20" s="29" t="n"/>
      <c r="F20" s="29" t="n"/>
      <c r="G20" s="62" t="n"/>
      <c r="H20" s="29" t="n"/>
      <c r="I20" s="29" t="n"/>
      <c r="J20" s="63" t="n"/>
      <c r="K20" s="44" t="n"/>
      <c r="L20" s="53">
        <f>IF(UPPER(K20)="Y",D20,0)</f>
        <v/>
      </c>
      <c r="M20" s="34" t="n"/>
    </row>
    <row r="21">
      <c r="A21" s="25" t="inlineStr">
        <is>
          <t>Kingbright</t>
        </is>
      </c>
      <c r="B21" s="26" t="inlineStr">
        <is>
          <t>bare (ref)</t>
        </is>
      </c>
      <c r="C21" s="27" t="n">
        <v>1</v>
      </c>
      <c r="D21" s="53" t="n">
        <v>3</v>
      </c>
      <c r="E21" s="29" t="n"/>
      <c r="F21" s="29" t="n"/>
      <c r="G21" s="62" t="n"/>
      <c r="H21" s="29" t="n"/>
      <c r="I21" s="29" t="n"/>
      <c r="J21" s="63" t="n"/>
      <c r="K21" s="44" t="n"/>
      <c r="L21" s="53">
        <f>IF(UPPER(K21)="Y",D21,0)</f>
        <v/>
      </c>
      <c r="M21" s="34" t="n"/>
    </row>
    <row r="22">
      <c r="A22" s="25" t="inlineStr">
        <is>
          <t>Kingbright</t>
        </is>
      </c>
      <c r="B22" s="26" t="inlineStr">
        <is>
          <t>bare (ref)</t>
        </is>
      </c>
      <c r="C22" s="27" t="n">
        <v>1</v>
      </c>
      <c r="D22" s="53" t="n">
        <v>4</v>
      </c>
      <c r="E22" s="29" t="n"/>
      <c r="F22" s="29" t="n"/>
      <c r="G22" s="62" t="n"/>
      <c r="H22" s="29" t="n"/>
      <c r="I22" s="29" t="n"/>
      <c r="J22" s="63" t="n"/>
      <c r="K22" s="44" t="n"/>
      <c r="L22" s="53">
        <f>IF(UPPER(K22)="Y",D22,0)</f>
        <v/>
      </c>
      <c r="M22" s="34" t="n"/>
    </row>
    <row r="23">
      <c r="A23" s="25" t="inlineStr">
        <is>
          <t>Kingbright</t>
        </is>
      </c>
      <c r="B23" s="26" t="inlineStr">
        <is>
          <t>bare (ref)</t>
        </is>
      </c>
      <c r="C23" s="27" t="n">
        <v>1</v>
      </c>
      <c r="D23" s="53" t="n">
        <v>5</v>
      </c>
      <c r="E23" s="29" t="n"/>
      <c r="F23" s="29" t="n"/>
      <c r="G23" s="62" t="n"/>
      <c r="H23" s="29" t="n"/>
      <c r="I23" s="29" t="n"/>
      <c r="J23" s="63" t="n"/>
      <c r="K23" s="44" t="n"/>
      <c r="L23" s="53">
        <f>IF(UPPER(K23)="Y",D23,0)</f>
        <v/>
      </c>
      <c r="M23" s="34" t="n"/>
    </row>
    <row r="24">
      <c r="A24" s="15" t="inlineStr">
        <is>
          <t>Vishay</t>
        </is>
      </c>
      <c r="B24" s="16" t="inlineStr">
        <is>
          <t>20 mm</t>
        </is>
      </c>
      <c r="C24" s="17" t="n">
        <v>1</v>
      </c>
      <c r="D24" s="57" t="n">
        <v>1</v>
      </c>
      <c r="E24" s="19" t="n"/>
      <c r="F24" s="19" t="n"/>
      <c r="G24" s="58" t="n"/>
      <c r="H24" s="19" t="n"/>
      <c r="I24" s="19" t="n"/>
      <c r="J24" s="59" t="n"/>
      <c r="K24" s="43" t="n"/>
      <c r="L24" s="57">
        <f>IF(UPPER(K24)="Y",D24,0)</f>
        <v/>
      </c>
      <c r="M24" s="24" t="n"/>
    </row>
    <row r="25">
      <c r="A25" s="25" t="inlineStr">
        <is>
          <t>Vishay</t>
        </is>
      </c>
      <c r="B25" s="26" t="inlineStr">
        <is>
          <t>20 mm</t>
        </is>
      </c>
      <c r="C25" s="27" t="n">
        <v>1</v>
      </c>
      <c r="D25" s="53" t="n">
        <v>2</v>
      </c>
      <c r="E25" s="29" t="n"/>
      <c r="F25" s="29" t="n"/>
      <c r="G25" s="62" t="n"/>
      <c r="H25" s="29" t="n"/>
      <c r="I25" s="29" t="n"/>
      <c r="J25" s="63" t="n"/>
      <c r="K25" s="44" t="n"/>
      <c r="L25" s="53">
        <f>IF(UPPER(K25)="Y",D25,0)</f>
        <v/>
      </c>
      <c r="M25" s="34" t="n"/>
    </row>
    <row r="26">
      <c r="A26" s="25" t="inlineStr">
        <is>
          <t>Vishay</t>
        </is>
      </c>
      <c r="B26" s="26" t="inlineStr">
        <is>
          <t>20 mm</t>
        </is>
      </c>
      <c r="C26" s="27" t="n">
        <v>1</v>
      </c>
      <c r="D26" s="53" t="n">
        <v>3</v>
      </c>
      <c r="E26" s="29" t="n"/>
      <c r="F26" s="29" t="n"/>
      <c r="G26" s="62" t="n"/>
      <c r="H26" s="29" t="n"/>
      <c r="I26" s="29" t="n"/>
      <c r="J26" s="63" t="n"/>
      <c r="K26" s="44" t="n"/>
      <c r="L26" s="53">
        <f>IF(UPPER(K26)="Y",D26,0)</f>
        <v/>
      </c>
      <c r="M26" s="34" t="n"/>
    </row>
    <row r="27">
      <c r="A27" s="25" t="inlineStr">
        <is>
          <t>Vishay</t>
        </is>
      </c>
      <c r="B27" s="26" t="inlineStr">
        <is>
          <t>20 mm</t>
        </is>
      </c>
      <c r="C27" s="27" t="n">
        <v>1</v>
      </c>
      <c r="D27" s="53" t="n">
        <v>4</v>
      </c>
      <c r="E27" s="29" t="n"/>
      <c r="F27" s="29" t="n"/>
      <c r="G27" s="62" t="n"/>
      <c r="H27" s="29" t="n"/>
      <c r="I27" s="29" t="n"/>
      <c r="J27" s="63" t="n"/>
      <c r="K27" s="44" t="n"/>
      <c r="L27" s="53">
        <f>IF(UPPER(K27)="Y",D27,0)</f>
        <v/>
      </c>
      <c r="M27" s="34" t="n"/>
    </row>
    <row r="28">
      <c r="A28" s="25" t="inlineStr">
        <is>
          <t>Vishay</t>
        </is>
      </c>
      <c r="B28" s="26" t="inlineStr">
        <is>
          <t>20 mm</t>
        </is>
      </c>
      <c r="C28" s="27" t="n">
        <v>1</v>
      </c>
      <c r="D28" s="53" t="n">
        <v>5</v>
      </c>
      <c r="E28" s="29" t="n"/>
      <c r="F28" s="29" t="n"/>
      <c r="G28" s="62" t="n"/>
      <c r="H28" s="29" t="n"/>
      <c r="I28" s="29" t="n"/>
      <c r="J28" s="63" t="n"/>
      <c r="K28" s="44" t="n"/>
      <c r="L28" s="53">
        <f>IF(UPPER(K28)="Y",D28,0)</f>
        <v/>
      </c>
      <c r="M28" s="34" t="n"/>
    </row>
    <row r="29">
      <c r="A29" s="25" t="inlineStr">
        <is>
          <t>Everlight</t>
        </is>
      </c>
      <c r="B29" s="26" t="inlineStr">
        <is>
          <t>20 mm</t>
        </is>
      </c>
      <c r="C29" s="27" t="n">
        <v>1</v>
      </c>
      <c r="D29" s="53" t="n">
        <v>1</v>
      </c>
      <c r="E29" s="29" t="n"/>
      <c r="F29" s="29" t="n"/>
      <c r="G29" s="62" t="n"/>
      <c r="H29" s="29" t="n"/>
      <c r="I29" s="29" t="n"/>
      <c r="J29" s="63" t="n"/>
      <c r="K29" s="44" t="n"/>
      <c r="L29" s="53">
        <f>IF(UPPER(K29)="Y",D29,0)</f>
        <v/>
      </c>
      <c r="M29" s="34" t="n"/>
    </row>
    <row r="30">
      <c r="A30" s="25" t="inlineStr">
        <is>
          <t>Everlight</t>
        </is>
      </c>
      <c r="B30" s="26" t="inlineStr">
        <is>
          <t>20 mm</t>
        </is>
      </c>
      <c r="C30" s="27" t="n">
        <v>1</v>
      </c>
      <c r="D30" s="53" t="n">
        <v>2</v>
      </c>
      <c r="E30" s="29" t="n"/>
      <c r="F30" s="29" t="n"/>
      <c r="G30" s="62" t="n"/>
      <c r="H30" s="29" t="n"/>
      <c r="I30" s="29" t="n"/>
      <c r="J30" s="63" t="n"/>
      <c r="K30" s="44" t="n"/>
      <c r="L30" s="53">
        <f>IF(UPPER(K30)="Y",D30,0)</f>
        <v/>
      </c>
      <c r="M30" s="34" t="n"/>
    </row>
    <row r="31">
      <c r="A31" s="25" t="inlineStr">
        <is>
          <t>Everlight</t>
        </is>
      </c>
      <c r="B31" s="26" t="inlineStr">
        <is>
          <t>20 mm</t>
        </is>
      </c>
      <c r="C31" s="27" t="n">
        <v>1</v>
      </c>
      <c r="D31" s="53" t="n">
        <v>3</v>
      </c>
      <c r="E31" s="29" t="n"/>
      <c r="F31" s="29" t="n"/>
      <c r="G31" s="62" t="n"/>
      <c r="H31" s="29" t="n"/>
      <c r="I31" s="29" t="n"/>
      <c r="J31" s="63" t="n"/>
      <c r="K31" s="44" t="n"/>
      <c r="L31" s="53">
        <f>IF(UPPER(K31)="Y",D31,0)</f>
        <v/>
      </c>
      <c r="M31" s="34" t="n"/>
    </row>
    <row r="32">
      <c r="A32" s="25" t="inlineStr">
        <is>
          <t>Everlight</t>
        </is>
      </c>
      <c r="B32" s="26" t="inlineStr">
        <is>
          <t>20 mm</t>
        </is>
      </c>
      <c r="C32" s="27" t="n">
        <v>1</v>
      </c>
      <c r="D32" s="53" t="n">
        <v>4</v>
      </c>
      <c r="E32" s="29" t="n"/>
      <c r="F32" s="29" t="n"/>
      <c r="G32" s="62" t="n"/>
      <c r="H32" s="29" t="n"/>
      <c r="I32" s="29" t="n"/>
      <c r="J32" s="63" t="n"/>
      <c r="K32" s="44" t="n"/>
      <c r="L32" s="53">
        <f>IF(UPPER(K32)="Y",D32,0)</f>
        <v/>
      </c>
      <c r="M32" s="34" t="n"/>
    </row>
    <row r="33">
      <c r="A33" s="25" t="inlineStr">
        <is>
          <t>Everlight</t>
        </is>
      </c>
      <c r="B33" s="26" t="inlineStr">
        <is>
          <t>20 mm</t>
        </is>
      </c>
      <c r="C33" s="27" t="n">
        <v>1</v>
      </c>
      <c r="D33" s="53" t="n">
        <v>5</v>
      </c>
      <c r="E33" s="29" t="n"/>
      <c r="F33" s="29" t="n"/>
      <c r="G33" s="62" t="n"/>
      <c r="H33" s="29" t="n"/>
      <c r="I33" s="29" t="n"/>
      <c r="J33" s="63" t="n"/>
      <c r="K33" s="44" t="n"/>
      <c r="L33" s="53">
        <f>IF(UPPER(K33)="Y",D33,0)</f>
        <v/>
      </c>
      <c r="M33" s="34" t="n"/>
    </row>
    <row r="34">
      <c r="A34" s="25" t="inlineStr">
        <is>
          <t>XL</t>
        </is>
      </c>
      <c r="B34" s="26" t="inlineStr">
        <is>
          <t>20 mm</t>
        </is>
      </c>
      <c r="C34" s="27" t="n">
        <v>1</v>
      </c>
      <c r="D34" s="53" t="n">
        <v>1</v>
      </c>
      <c r="E34" s="29" t="n"/>
      <c r="F34" s="29" t="n"/>
      <c r="G34" s="62" t="n"/>
      <c r="H34" s="29" t="n"/>
      <c r="I34" s="29" t="n"/>
      <c r="J34" s="63" t="n"/>
      <c r="K34" s="44" t="n"/>
      <c r="L34" s="53">
        <f>IF(UPPER(K34)="Y",D34,0)</f>
        <v/>
      </c>
      <c r="M34" s="34" t="n"/>
    </row>
    <row r="35">
      <c r="A35" s="25" t="inlineStr">
        <is>
          <t>XL</t>
        </is>
      </c>
      <c r="B35" s="26" t="inlineStr">
        <is>
          <t>20 mm</t>
        </is>
      </c>
      <c r="C35" s="27" t="n">
        <v>1</v>
      </c>
      <c r="D35" s="53" t="n">
        <v>2</v>
      </c>
      <c r="E35" s="29" t="n"/>
      <c r="F35" s="29" t="n"/>
      <c r="G35" s="62" t="n"/>
      <c r="H35" s="29" t="n"/>
      <c r="I35" s="29" t="n"/>
      <c r="J35" s="63" t="n"/>
      <c r="K35" s="44" t="n"/>
      <c r="L35" s="53">
        <f>IF(UPPER(K35)="Y",D35,0)</f>
        <v/>
      </c>
      <c r="M35" s="34" t="n"/>
    </row>
    <row r="36">
      <c r="A36" s="25" t="inlineStr">
        <is>
          <t>XL</t>
        </is>
      </c>
      <c r="B36" s="26" t="inlineStr">
        <is>
          <t>20 mm</t>
        </is>
      </c>
      <c r="C36" s="27" t="n">
        <v>1</v>
      </c>
      <c r="D36" s="53" t="n">
        <v>3</v>
      </c>
      <c r="E36" s="29" t="n"/>
      <c r="F36" s="29" t="n"/>
      <c r="G36" s="62" t="n"/>
      <c r="H36" s="29" t="n"/>
      <c r="I36" s="29" t="n"/>
      <c r="J36" s="63" t="n"/>
      <c r="K36" s="44" t="n"/>
      <c r="L36" s="53">
        <f>IF(UPPER(K36)="Y",D36,0)</f>
        <v/>
      </c>
      <c r="M36" s="34" t="n"/>
    </row>
    <row r="37">
      <c r="A37" s="25" t="inlineStr">
        <is>
          <t>XL</t>
        </is>
      </c>
      <c r="B37" s="26" t="inlineStr">
        <is>
          <t>20 mm</t>
        </is>
      </c>
      <c r="C37" s="27" t="n">
        <v>1</v>
      </c>
      <c r="D37" s="53" t="n">
        <v>4</v>
      </c>
      <c r="E37" s="29" t="n"/>
      <c r="F37" s="29" t="n"/>
      <c r="G37" s="62" t="n"/>
      <c r="H37" s="29" t="n"/>
      <c r="I37" s="29" t="n"/>
      <c r="J37" s="63" t="n"/>
      <c r="K37" s="44" t="n"/>
      <c r="L37" s="53">
        <f>IF(UPPER(K37)="Y",D37,0)</f>
        <v/>
      </c>
      <c r="M37" s="34" t="n"/>
    </row>
    <row r="38">
      <c r="A38" s="25" t="inlineStr">
        <is>
          <t>XL</t>
        </is>
      </c>
      <c r="B38" s="26" t="inlineStr">
        <is>
          <t>20 mm</t>
        </is>
      </c>
      <c r="C38" s="27" t="n">
        <v>1</v>
      </c>
      <c r="D38" s="53" t="n">
        <v>5</v>
      </c>
      <c r="E38" s="29" t="n"/>
      <c r="F38" s="29" t="n"/>
      <c r="G38" s="62" t="n"/>
      <c r="H38" s="29" t="n"/>
      <c r="I38" s="29" t="n"/>
      <c r="J38" s="63" t="n"/>
      <c r="K38" s="44" t="n"/>
      <c r="L38" s="53">
        <f>IF(UPPER(K38)="Y",D38,0)</f>
        <v/>
      </c>
      <c r="M38" s="34" t="n"/>
    </row>
    <row r="39">
      <c r="A39" s="25" t="inlineStr">
        <is>
          <t>Kingbright</t>
        </is>
      </c>
      <c r="B39" s="26" t="inlineStr">
        <is>
          <t>20 mm</t>
        </is>
      </c>
      <c r="C39" s="27" t="n">
        <v>1</v>
      </c>
      <c r="D39" s="53" t="n">
        <v>1</v>
      </c>
      <c r="E39" s="29" t="n"/>
      <c r="F39" s="29" t="n"/>
      <c r="G39" s="62" t="n"/>
      <c r="H39" s="29" t="n"/>
      <c r="I39" s="29" t="n"/>
      <c r="J39" s="63" t="n"/>
      <c r="K39" s="44" t="n"/>
      <c r="L39" s="53">
        <f>IF(UPPER(K39)="Y",D39,0)</f>
        <v/>
      </c>
      <c r="M39" s="34" t="n"/>
    </row>
    <row r="40">
      <c r="A40" s="25" t="inlineStr">
        <is>
          <t>Kingbright</t>
        </is>
      </c>
      <c r="B40" s="26" t="inlineStr">
        <is>
          <t>20 mm</t>
        </is>
      </c>
      <c r="C40" s="27" t="n">
        <v>1</v>
      </c>
      <c r="D40" s="53" t="n">
        <v>2</v>
      </c>
      <c r="E40" s="29" t="n"/>
      <c r="F40" s="29" t="n"/>
      <c r="G40" s="62" t="n"/>
      <c r="H40" s="29" t="n"/>
      <c r="I40" s="29" t="n"/>
      <c r="J40" s="63" t="n"/>
      <c r="K40" s="44" t="n"/>
      <c r="L40" s="53">
        <f>IF(UPPER(K40)="Y",D40,0)</f>
        <v/>
      </c>
      <c r="M40" s="34" t="n"/>
    </row>
    <row r="41">
      <c r="A41" s="25" t="inlineStr">
        <is>
          <t>Kingbright</t>
        </is>
      </c>
      <c r="B41" s="26" t="inlineStr">
        <is>
          <t>20 mm</t>
        </is>
      </c>
      <c r="C41" s="27" t="n">
        <v>1</v>
      </c>
      <c r="D41" s="53" t="n">
        <v>3</v>
      </c>
      <c r="E41" s="29" t="n"/>
      <c r="F41" s="29" t="n"/>
      <c r="G41" s="62" t="n"/>
      <c r="H41" s="29" t="n"/>
      <c r="I41" s="29" t="n"/>
      <c r="J41" s="63" t="n"/>
      <c r="K41" s="44" t="n"/>
      <c r="L41" s="53">
        <f>IF(UPPER(K41)="Y",D41,0)</f>
        <v/>
      </c>
      <c r="M41" s="34" t="n"/>
    </row>
    <row r="42">
      <c r="A42" s="25" t="inlineStr">
        <is>
          <t>Kingbright</t>
        </is>
      </c>
      <c r="B42" s="26" t="inlineStr">
        <is>
          <t>20 mm</t>
        </is>
      </c>
      <c r="C42" s="27" t="n">
        <v>1</v>
      </c>
      <c r="D42" s="53" t="n">
        <v>4</v>
      </c>
      <c r="E42" s="29" t="n"/>
      <c r="F42" s="29" t="n"/>
      <c r="G42" s="62" t="n"/>
      <c r="H42" s="29" t="n"/>
      <c r="I42" s="29" t="n"/>
      <c r="J42" s="63" t="n"/>
      <c r="K42" s="44" t="n"/>
      <c r="L42" s="53">
        <f>IF(UPPER(K42)="Y",D42,0)</f>
        <v/>
      </c>
      <c r="M42" s="34" t="n"/>
    </row>
    <row r="43">
      <c r="A43" s="25" t="inlineStr">
        <is>
          <t>Kingbright</t>
        </is>
      </c>
      <c r="B43" s="26" t="inlineStr">
        <is>
          <t>20 mm</t>
        </is>
      </c>
      <c r="C43" s="27" t="n">
        <v>1</v>
      </c>
      <c r="D43" s="53" t="n">
        <v>5</v>
      </c>
      <c r="E43" s="29" t="n"/>
      <c r="F43" s="29" t="n"/>
      <c r="G43" s="62" t="n"/>
      <c r="H43" s="29" t="n"/>
      <c r="I43" s="29" t="n"/>
      <c r="J43" s="63" t="n"/>
      <c r="K43" s="44" t="n"/>
      <c r="L43" s="53">
        <f>IF(UPPER(K43)="Y",D43,0)</f>
        <v/>
      </c>
      <c r="M43" s="34" t="n"/>
    </row>
    <row r="44">
      <c r="A44" s="15" t="inlineStr">
        <is>
          <t>Vishay</t>
        </is>
      </c>
      <c r="B44" s="16" t="inlineStr">
        <is>
          <t>25 mm</t>
        </is>
      </c>
      <c r="C44" s="17" t="n">
        <v>1</v>
      </c>
      <c r="D44" s="57" t="n">
        <v>1</v>
      </c>
      <c r="E44" s="19" t="n"/>
      <c r="F44" s="19" t="n"/>
      <c r="G44" s="58" t="n"/>
      <c r="H44" s="19" t="n"/>
      <c r="I44" s="19" t="n"/>
      <c r="J44" s="59" t="n"/>
      <c r="K44" s="43" t="n"/>
      <c r="L44" s="57">
        <f>IF(UPPER(K44)="Y",D44,0)</f>
        <v/>
      </c>
      <c r="M44" s="24" t="n"/>
    </row>
    <row r="45">
      <c r="A45" s="25" t="inlineStr">
        <is>
          <t>Vishay</t>
        </is>
      </c>
      <c r="B45" s="26" t="inlineStr">
        <is>
          <t>25 mm</t>
        </is>
      </c>
      <c r="C45" s="27" t="n">
        <v>1</v>
      </c>
      <c r="D45" s="53" t="n">
        <v>2</v>
      </c>
      <c r="E45" s="29" t="n"/>
      <c r="F45" s="29" t="n"/>
      <c r="G45" s="62" t="n"/>
      <c r="H45" s="29" t="n"/>
      <c r="I45" s="29" t="n"/>
      <c r="J45" s="63" t="n"/>
      <c r="K45" s="44" t="n"/>
      <c r="L45" s="53">
        <f>IF(UPPER(K45)="Y",D45,0)</f>
        <v/>
      </c>
      <c r="M45" s="34" t="n"/>
    </row>
    <row r="46">
      <c r="A46" s="25" t="inlineStr">
        <is>
          <t>Vishay</t>
        </is>
      </c>
      <c r="B46" s="26" t="inlineStr">
        <is>
          <t>25 mm</t>
        </is>
      </c>
      <c r="C46" s="27" t="n">
        <v>1</v>
      </c>
      <c r="D46" s="53" t="n">
        <v>3</v>
      </c>
      <c r="E46" s="29" t="n"/>
      <c r="F46" s="29" t="n"/>
      <c r="G46" s="62" t="n"/>
      <c r="H46" s="29" t="n"/>
      <c r="I46" s="29" t="n"/>
      <c r="J46" s="63" t="n"/>
      <c r="K46" s="44" t="n"/>
      <c r="L46" s="53">
        <f>IF(UPPER(K46)="Y",D46,0)</f>
        <v/>
      </c>
      <c r="M46" s="34" t="n"/>
    </row>
    <row r="47">
      <c r="A47" s="25" t="inlineStr">
        <is>
          <t>Vishay</t>
        </is>
      </c>
      <c r="B47" s="26" t="inlineStr">
        <is>
          <t>25 mm</t>
        </is>
      </c>
      <c r="C47" s="27" t="n">
        <v>1</v>
      </c>
      <c r="D47" s="53" t="n">
        <v>4</v>
      </c>
      <c r="E47" s="29" t="n"/>
      <c r="F47" s="29" t="n"/>
      <c r="G47" s="62" t="n"/>
      <c r="H47" s="29" t="n"/>
      <c r="I47" s="29" t="n"/>
      <c r="J47" s="63" t="n"/>
      <c r="K47" s="44" t="n"/>
      <c r="L47" s="53">
        <f>IF(UPPER(K47)="Y",D47,0)</f>
        <v/>
      </c>
      <c r="M47" s="34" t="n"/>
    </row>
    <row r="48">
      <c r="A48" s="25" t="inlineStr">
        <is>
          <t>Vishay</t>
        </is>
      </c>
      <c r="B48" s="26" t="inlineStr">
        <is>
          <t>25 mm</t>
        </is>
      </c>
      <c r="C48" s="27" t="n">
        <v>1</v>
      </c>
      <c r="D48" s="53" t="n">
        <v>5</v>
      </c>
      <c r="E48" s="29" t="n"/>
      <c r="F48" s="29" t="n"/>
      <c r="G48" s="62" t="n"/>
      <c r="H48" s="29" t="n"/>
      <c r="I48" s="29" t="n"/>
      <c r="J48" s="63" t="n"/>
      <c r="K48" s="44" t="n"/>
      <c r="L48" s="53">
        <f>IF(UPPER(K48)="Y",D48,0)</f>
        <v/>
      </c>
      <c r="M48" s="34" t="n"/>
    </row>
    <row r="49">
      <c r="A49" s="25" t="inlineStr">
        <is>
          <t>Everlight</t>
        </is>
      </c>
      <c r="B49" s="26" t="inlineStr">
        <is>
          <t>25 mm</t>
        </is>
      </c>
      <c r="C49" s="27" t="n">
        <v>1</v>
      </c>
      <c r="D49" s="53" t="n">
        <v>1</v>
      </c>
      <c r="E49" s="29" t="n"/>
      <c r="F49" s="29" t="n"/>
      <c r="G49" s="62" t="n"/>
      <c r="H49" s="29" t="n"/>
      <c r="I49" s="29" t="n"/>
      <c r="J49" s="63" t="n"/>
      <c r="K49" s="44" t="n"/>
      <c r="L49" s="53">
        <f>IF(UPPER(K49)="Y",D49,0)</f>
        <v/>
      </c>
      <c r="M49" s="34" t="n"/>
    </row>
    <row r="50">
      <c r="A50" s="25" t="inlineStr">
        <is>
          <t>Everlight</t>
        </is>
      </c>
      <c r="B50" s="26" t="inlineStr">
        <is>
          <t>25 mm</t>
        </is>
      </c>
      <c r="C50" s="27" t="n">
        <v>1</v>
      </c>
      <c r="D50" s="53" t="n">
        <v>2</v>
      </c>
      <c r="E50" s="29" t="n"/>
      <c r="F50" s="29" t="n"/>
      <c r="G50" s="62" t="n"/>
      <c r="H50" s="29" t="n"/>
      <c r="I50" s="29" t="n"/>
      <c r="J50" s="63" t="n"/>
      <c r="K50" s="44" t="n"/>
      <c r="L50" s="53">
        <f>IF(UPPER(K50)="Y",D50,0)</f>
        <v/>
      </c>
      <c r="M50" s="34" t="n"/>
    </row>
    <row r="51">
      <c r="A51" s="25" t="inlineStr">
        <is>
          <t>Everlight</t>
        </is>
      </c>
      <c r="B51" s="26" t="inlineStr">
        <is>
          <t>25 mm</t>
        </is>
      </c>
      <c r="C51" s="27" t="n">
        <v>1</v>
      </c>
      <c r="D51" s="53" t="n">
        <v>3</v>
      </c>
      <c r="E51" s="29" t="n"/>
      <c r="F51" s="29" t="n"/>
      <c r="G51" s="62" t="n"/>
      <c r="H51" s="29" t="n"/>
      <c r="I51" s="29" t="n"/>
      <c r="J51" s="63" t="n"/>
      <c r="K51" s="44" t="n"/>
      <c r="L51" s="53">
        <f>IF(UPPER(K51)="Y",D51,0)</f>
        <v/>
      </c>
      <c r="M51" s="34" t="n"/>
    </row>
    <row r="52">
      <c r="A52" s="25" t="inlineStr">
        <is>
          <t>Everlight</t>
        </is>
      </c>
      <c r="B52" s="26" t="inlineStr">
        <is>
          <t>25 mm</t>
        </is>
      </c>
      <c r="C52" s="27" t="n">
        <v>1</v>
      </c>
      <c r="D52" s="53" t="n">
        <v>4</v>
      </c>
      <c r="E52" s="29" t="n"/>
      <c r="F52" s="29" t="n"/>
      <c r="G52" s="62" t="n"/>
      <c r="H52" s="29" t="n"/>
      <c r="I52" s="29" t="n"/>
      <c r="J52" s="63" t="n"/>
      <c r="K52" s="44" t="n"/>
      <c r="L52" s="53">
        <f>IF(UPPER(K52)="Y",D52,0)</f>
        <v/>
      </c>
      <c r="M52" s="34" t="n"/>
    </row>
    <row r="53">
      <c r="A53" s="25" t="inlineStr">
        <is>
          <t>Everlight</t>
        </is>
      </c>
      <c r="B53" s="26" t="inlineStr">
        <is>
          <t>25 mm</t>
        </is>
      </c>
      <c r="C53" s="27" t="n">
        <v>1</v>
      </c>
      <c r="D53" s="53" t="n">
        <v>5</v>
      </c>
      <c r="E53" s="29" t="n"/>
      <c r="F53" s="29" t="n"/>
      <c r="G53" s="62" t="n"/>
      <c r="H53" s="29" t="n"/>
      <c r="I53" s="29" t="n"/>
      <c r="J53" s="63" t="n"/>
      <c r="K53" s="44" t="n"/>
      <c r="L53" s="53">
        <f>IF(UPPER(K53)="Y",D53,0)</f>
        <v/>
      </c>
      <c r="M53" s="34" t="n"/>
    </row>
    <row r="54">
      <c r="A54" s="25" t="inlineStr">
        <is>
          <t>XL</t>
        </is>
      </c>
      <c r="B54" s="26" t="inlineStr">
        <is>
          <t>25 mm</t>
        </is>
      </c>
      <c r="C54" s="27" t="n">
        <v>1</v>
      </c>
      <c r="D54" s="53" t="n">
        <v>1</v>
      </c>
      <c r="E54" s="29" t="n"/>
      <c r="F54" s="29" t="n"/>
      <c r="G54" s="62" t="n"/>
      <c r="H54" s="29" t="n"/>
      <c r="I54" s="29" t="n"/>
      <c r="J54" s="63" t="n"/>
      <c r="K54" s="44" t="n"/>
      <c r="L54" s="53">
        <f>IF(UPPER(K54)="Y",D54,0)</f>
        <v/>
      </c>
      <c r="M54" s="34" t="n"/>
    </row>
    <row r="55">
      <c r="A55" s="25" t="inlineStr">
        <is>
          <t>XL</t>
        </is>
      </c>
      <c r="B55" s="26" t="inlineStr">
        <is>
          <t>25 mm</t>
        </is>
      </c>
      <c r="C55" s="27" t="n">
        <v>1</v>
      </c>
      <c r="D55" s="53" t="n">
        <v>2</v>
      </c>
      <c r="E55" s="29" t="n"/>
      <c r="F55" s="29" t="n"/>
      <c r="G55" s="62" t="n"/>
      <c r="H55" s="29" t="n"/>
      <c r="I55" s="29" t="n"/>
      <c r="J55" s="63" t="n"/>
      <c r="K55" s="44" t="n"/>
      <c r="L55" s="53">
        <f>IF(UPPER(K55)="Y",D55,0)</f>
        <v/>
      </c>
      <c r="M55" s="34" t="n"/>
    </row>
    <row r="56">
      <c r="A56" s="25" t="inlineStr">
        <is>
          <t>XL</t>
        </is>
      </c>
      <c r="B56" s="26" t="inlineStr">
        <is>
          <t>25 mm</t>
        </is>
      </c>
      <c r="C56" s="27" t="n">
        <v>1</v>
      </c>
      <c r="D56" s="53" t="n">
        <v>3</v>
      </c>
      <c r="E56" s="29" t="n"/>
      <c r="F56" s="29" t="n"/>
      <c r="G56" s="62" t="n"/>
      <c r="H56" s="29" t="n"/>
      <c r="I56" s="29" t="n"/>
      <c r="J56" s="63" t="n"/>
      <c r="K56" s="44" t="n"/>
      <c r="L56" s="53">
        <f>IF(UPPER(K56)="Y",D56,0)</f>
        <v/>
      </c>
      <c r="M56" s="34" t="n"/>
    </row>
    <row r="57">
      <c r="A57" s="25" t="inlineStr">
        <is>
          <t>XL</t>
        </is>
      </c>
      <c r="B57" s="26" t="inlineStr">
        <is>
          <t>25 mm</t>
        </is>
      </c>
      <c r="C57" s="27" t="n">
        <v>1</v>
      </c>
      <c r="D57" s="53" t="n">
        <v>4</v>
      </c>
      <c r="E57" s="29" t="n"/>
      <c r="F57" s="29" t="n"/>
      <c r="G57" s="62" t="n"/>
      <c r="H57" s="29" t="n"/>
      <c r="I57" s="29" t="n"/>
      <c r="J57" s="63" t="n"/>
      <c r="K57" s="44" t="n"/>
      <c r="L57" s="53">
        <f>IF(UPPER(K57)="Y",D57,0)</f>
        <v/>
      </c>
      <c r="M57" s="34" t="n"/>
    </row>
    <row r="58">
      <c r="A58" s="25" t="inlineStr">
        <is>
          <t>XL</t>
        </is>
      </c>
      <c r="B58" s="26" t="inlineStr">
        <is>
          <t>25 mm</t>
        </is>
      </c>
      <c r="C58" s="27" t="n">
        <v>1</v>
      </c>
      <c r="D58" s="53" t="n">
        <v>5</v>
      </c>
      <c r="E58" s="29" t="n"/>
      <c r="F58" s="29" t="n"/>
      <c r="G58" s="62" t="n"/>
      <c r="H58" s="29" t="n"/>
      <c r="I58" s="29" t="n"/>
      <c r="J58" s="63" t="n"/>
      <c r="K58" s="44" t="n"/>
      <c r="L58" s="53">
        <f>IF(UPPER(K58)="Y",D58,0)</f>
        <v/>
      </c>
      <c r="M58" s="34" t="n"/>
    </row>
    <row r="59">
      <c r="A59" s="25" t="inlineStr">
        <is>
          <t>Kingbright</t>
        </is>
      </c>
      <c r="B59" s="26" t="inlineStr">
        <is>
          <t>25 mm</t>
        </is>
      </c>
      <c r="C59" s="27" t="n">
        <v>1</v>
      </c>
      <c r="D59" s="53" t="n">
        <v>1</v>
      </c>
      <c r="E59" s="29" t="n"/>
      <c r="F59" s="29" t="n"/>
      <c r="G59" s="62" t="n"/>
      <c r="H59" s="29" t="n"/>
      <c r="I59" s="29" t="n"/>
      <c r="J59" s="63" t="n"/>
      <c r="K59" s="44" t="n"/>
      <c r="L59" s="53">
        <f>IF(UPPER(K59)="Y",D59,0)</f>
        <v/>
      </c>
      <c r="M59" s="34" t="n"/>
    </row>
    <row r="60">
      <c r="A60" s="25" t="inlineStr">
        <is>
          <t>Kingbright</t>
        </is>
      </c>
      <c r="B60" s="26" t="inlineStr">
        <is>
          <t>25 mm</t>
        </is>
      </c>
      <c r="C60" s="27" t="n">
        <v>1</v>
      </c>
      <c r="D60" s="53" t="n">
        <v>2</v>
      </c>
      <c r="E60" s="29" t="n"/>
      <c r="F60" s="29" t="n"/>
      <c r="G60" s="62" t="n"/>
      <c r="H60" s="29" t="n"/>
      <c r="I60" s="29" t="n"/>
      <c r="J60" s="63" t="n"/>
      <c r="K60" s="44" t="n"/>
      <c r="L60" s="53">
        <f>IF(UPPER(K60)="Y",D60,0)</f>
        <v/>
      </c>
      <c r="M60" s="34" t="n"/>
    </row>
    <row r="61">
      <c r="A61" s="25" t="inlineStr">
        <is>
          <t>Kingbright</t>
        </is>
      </c>
      <c r="B61" s="26" t="inlineStr">
        <is>
          <t>25 mm</t>
        </is>
      </c>
      <c r="C61" s="27" t="n">
        <v>1</v>
      </c>
      <c r="D61" s="53" t="n">
        <v>3</v>
      </c>
      <c r="E61" s="29" t="n"/>
      <c r="F61" s="29" t="n"/>
      <c r="G61" s="62" t="n"/>
      <c r="H61" s="29" t="n"/>
      <c r="I61" s="29" t="n"/>
      <c r="J61" s="63" t="n"/>
      <c r="K61" s="44" t="n"/>
      <c r="L61" s="53">
        <f>IF(UPPER(K61)="Y",D61,0)</f>
        <v/>
      </c>
      <c r="M61" s="34" t="n"/>
    </row>
    <row r="62">
      <c r="A62" s="25" t="inlineStr">
        <is>
          <t>Kingbright</t>
        </is>
      </c>
      <c r="B62" s="26" t="inlineStr">
        <is>
          <t>25 mm</t>
        </is>
      </c>
      <c r="C62" s="27" t="n">
        <v>1</v>
      </c>
      <c r="D62" s="53" t="n">
        <v>4</v>
      </c>
      <c r="E62" s="29" t="n"/>
      <c r="F62" s="29" t="n"/>
      <c r="G62" s="62" t="n"/>
      <c r="H62" s="29" t="n"/>
      <c r="I62" s="29" t="n"/>
      <c r="J62" s="63" t="n"/>
      <c r="K62" s="44" t="n"/>
      <c r="L62" s="53">
        <f>IF(UPPER(K62)="Y",D62,0)</f>
        <v/>
      </c>
      <c r="M62" s="34" t="n"/>
    </row>
    <row r="63">
      <c r="A63" s="25" t="inlineStr">
        <is>
          <t>Kingbright</t>
        </is>
      </c>
      <c r="B63" s="26" t="inlineStr">
        <is>
          <t>25 mm</t>
        </is>
      </c>
      <c r="C63" s="27" t="n">
        <v>1</v>
      </c>
      <c r="D63" s="53" t="n">
        <v>5</v>
      </c>
      <c r="E63" s="29" t="n"/>
      <c r="F63" s="29" t="n"/>
      <c r="G63" s="62" t="n"/>
      <c r="H63" s="29" t="n"/>
      <c r="I63" s="29" t="n"/>
      <c r="J63" s="63" t="n"/>
      <c r="K63" s="44" t="n"/>
      <c r="L63" s="53">
        <f>IF(UPPER(K63)="Y",D63,0)</f>
        <v/>
      </c>
      <c r="M63" s="34" t="n"/>
    </row>
    <row r="65">
      <c r="A65" s="76" t="inlineStr">
        <is>
          <t>C2 - THRESH_LO SWEEP AT MAXIMUM RANGE</t>
        </is>
      </c>
    </row>
    <row r="66">
      <c r="A66" s="66" t="inlineStr">
        <is>
          <t>THRESH_LO has sat at 80 since run 1, but the background measured max 4 counts (2026-09-03, flat across 300x of exposure). 80 is therefore ~20x above anything the sensor floor produces, and it is throwing away the blob's dim skirt - which is exactly the signal that matters at maximum range, where the marker is smallest. Run this at the FAR limit with the winning build, and again at the NEAR limit to check nothing false appears.</t>
        </is>
      </c>
    </row>
    <row r="67" ht="32" customHeight="1">
      <c r="A67" s="77" t="inlineStr">
        <is>
          <t>Distance
(m)</t>
        </is>
      </c>
      <c r="B67" s="77" t="inlineStr">
        <is>
          <t>THRESH_LO</t>
        </is>
      </c>
      <c r="C67" s="77" t="inlineStr">
        <is>
          <t>Background
max</t>
        </is>
      </c>
      <c r="D67" s="77" t="inlineStr">
        <is>
          <t>Detected?
(Y/N)</t>
        </is>
      </c>
      <c r="E67" s="77" t="inlineStr">
        <is>
          <t>blobs
(marker)</t>
        </is>
      </c>
      <c r="F67" s="77" t="inlineStr">
        <is>
          <t>False blobs
(frame)</t>
        </is>
      </c>
      <c r="G67" s="77" t="inlineStr">
        <is>
          <t>Sensor area
(px)</t>
        </is>
      </c>
      <c r="H67" s="77" t="inlineStr">
        <is>
          <t>npix
(refined)</t>
        </is>
      </c>
      <c r="I67" s="77" t="inlineStr">
        <is>
          <t>Fill</t>
        </is>
      </c>
      <c r="J67" s="77" t="inlineStr">
        <is>
          <t>sigma_u
(px)</t>
        </is>
      </c>
      <c r="K67" s="77" t="inlineStr">
        <is>
          <t>sigma_v
(px)</t>
        </is>
      </c>
      <c r="L67" s="77" t="inlineStr">
        <is>
          <t>sigma_RMS
(px)</t>
        </is>
      </c>
      <c r="M67" s="77" t="inlineStr">
        <is>
          <t>Area vs 80</t>
        </is>
      </c>
      <c r="N67" s="77" t="inlineStr">
        <is>
          <t>sigma vs 80</t>
        </is>
      </c>
      <c r="O67" s="77" t="inlineStr">
        <is>
          <t>Notes</t>
        </is>
      </c>
    </row>
    <row r="68">
      <c r="A68" s="72" t="n"/>
      <c r="B68" s="85" t="n">
        <v>80</v>
      </c>
      <c r="C68" s="74" t="n"/>
      <c r="D68" s="74" t="n"/>
      <c r="E68" s="74" t="n"/>
      <c r="F68" s="74" t="n"/>
      <c r="G68" s="74" t="n"/>
      <c r="H68" s="74" t="n"/>
      <c r="I68" s="79" t="n"/>
      <c r="J68" s="83" t="n"/>
      <c r="K68" s="83" t="n"/>
      <c r="L68" s="84">
        <f>IF(OR(J68="",K68=""),"",SQRT(0.5*(J68^2+K68^2)))</f>
        <v/>
      </c>
      <c r="M68" s="75">
        <f>IF(OR(G68="",$G$68="",$G$68=0),"",G68/$G$68)</f>
        <v/>
      </c>
      <c r="N68" s="75">
        <f>IF(OR(L68="",$L$68="",$L$68=0),"",L68/$L$68)</f>
        <v/>
      </c>
      <c r="O68" s="81" t="inlineStr">
        <is>
          <t>far limit - the row that matters</t>
        </is>
      </c>
    </row>
    <row r="69">
      <c r="A69" s="72" t="n"/>
      <c r="B69" s="85" t="n">
        <v>60</v>
      </c>
      <c r="C69" s="74" t="n"/>
      <c r="D69" s="74" t="n"/>
      <c r="E69" s="74" t="n"/>
      <c r="F69" s="74" t="n"/>
      <c r="G69" s="74" t="n"/>
      <c r="H69" s="74" t="n"/>
      <c r="I69" s="79" t="n"/>
      <c r="J69" s="83" t="n"/>
      <c r="K69" s="83" t="n"/>
      <c r="L69" s="84">
        <f>IF(OR(J69="",K69=""),"",SQRT(0.5*(J69^2+K69^2)))</f>
        <v/>
      </c>
      <c r="M69" s="75">
        <f>IF(OR(G69="",$G$68="",$G$68=0),"",G69/$G$68)</f>
        <v/>
      </c>
      <c r="N69" s="75">
        <f>IF(OR(L69="",$L$68="",$L$68=0),"",L69/$L$68)</f>
        <v/>
      </c>
      <c r="O69" s="81" t="inlineStr"/>
    </row>
    <row r="70">
      <c r="A70" s="72" t="n"/>
      <c r="B70" s="85" t="n">
        <v>50</v>
      </c>
      <c r="C70" s="74" t="n"/>
      <c r="D70" s="74" t="n"/>
      <c r="E70" s="74" t="n"/>
      <c r="F70" s="74" t="n"/>
      <c r="G70" s="74" t="n"/>
      <c r="H70" s="74" t="n"/>
      <c r="I70" s="79" t="n"/>
      <c r="J70" s="83" t="n"/>
      <c r="K70" s="83" t="n"/>
      <c r="L70" s="84">
        <f>IF(OR(J70="",K70=""),"",SQRT(0.5*(J70^2+K70^2)))</f>
        <v/>
      </c>
      <c r="M70" s="75">
        <f>IF(OR(G70="",$G$68="",$G$68=0),"",G70/$G$68)</f>
        <v/>
      </c>
      <c r="N70" s="75">
        <f>IF(OR(L70="",$L$68="",$L$68=0),"",L70/$L$68)</f>
        <v/>
      </c>
      <c r="O70" s="81" t="inlineStr"/>
    </row>
    <row r="71">
      <c r="A71" s="72" t="n"/>
      <c r="B71" s="85" t="n">
        <v>40</v>
      </c>
      <c r="C71" s="74" t="n"/>
      <c r="D71" s="74" t="n"/>
      <c r="E71" s="74" t="n"/>
      <c r="F71" s="74" t="n"/>
      <c r="G71" s="74" t="n"/>
      <c r="H71" s="74" t="n"/>
      <c r="I71" s="79" t="n"/>
      <c r="J71" s="83" t="n"/>
      <c r="K71" s="83" t="n"/>
      <c r="L71" s="84">
        <f>IF(OR(J71="",K71=""),"",SQRT(0.5*(J71^2+K71^2)))</f>
        <v/>
      </c>
      <c r="M71" s="75">
        <f>IF(OR(G71="",$G$68="",$G$68=0),"",G71/$G$68)</f>
        <v/>
      </c>
      <c r="N71" s="75">
        <f>IF(OR(L71="",$L$68="",$L$68=0),"",L71/$L$68)</f>
        <v/>
      </c>
      <c r="O71" s="81" t="inlineStr"/>
    </row>
    <row r="72">
      <c r="A72" s="72" t="n"/>
      <c r="B72" s="85" t="n">
        <v>30</v>
      </c>
      <c r="C72" s="74" t="n"/>
      <c r="D72" s="74" t="n"/>
      <c r="E72" s="74" t="n"/>
      <c r="F72" s="74" t="n"/>
      <c r="G72" s="74" t="n"/>
      <c r="H72" s="74" t="n"/>
      <c r="I72" s="79" t="n"/>
      <c r="J72" s="83" t="n"/>
      <c r="K72" s="83" t="n"/>
      <c r="L72" s="84">
        <f>IF(OR(J72="",K72=""),"",SQRT(0.5*(J72^2+K72^2)))</f>
        <v/>
      </c>
      <c r="M72" s="75">
        <f>IF(OR(G72="",$G$68="",$G$68=0),"",G72/$G$68)</f>
        <v/>
      </c>
      <c r="N72" s="75">
        <f>IF(OR(L72="",$L$68="",$L$68=0),"",L72/$L$68)</f>
        <v/>
      </c>
      <c r="O72" s="81" t="inlineStr"/>
    </row>
    <row r="73">
      <c r="A73" s="72" t="n"/>
      <c r="B73" s="85" t="n">
        <v>20</v>
      </c>
      <c r="C73" s="74" t="n"/>
      <c r="D73" s="74" t="n"/>
      <c r="E73" s="74" t="n"/>
      <c r="F73" s="74" t="n"/>
      <c r="G73" s="74" t="n"/>
      <c r="H73" s="74" t="n"/>
      <c r="I73" s="79" t="n"/>
      <c r="J73" s="83" t="n"/>
      <c r="K73" s="83" t="n"/>
      <c r="L73" s="84">
        <f>IF(OR(J73="",K73=""),"",SQRT(0.5*(J73^2+K73^2)))</f>
        <v/>
      </c>
      <c r="M73" s="75">
        <f>IF(OR(G73="",$G$68="",$G$68=0),"",G73/$G$68)</f>
        <v/>
      </c>
      <c r="N73" s="75">
        <f>IF(OR(L73="",$L$68="",$L$68=0),"",L73/$L$68)</f>
        <v/>
      </c>
      <c r="O73" s="81" t="inlineStr"/>
    </row>
    <row r="75">
      <c r="A75" s="72" t="n"/>
      <c r="B75" s="85" t="n">
        <v>80</v>
      </c>
      <c r="C75" s="74" t="n"/>
      <c r="D75" s="74" t="n"/>
      <c r="E75" s="74" t="n"/>
      <c r="F75" s="74" t="n"/>
      <c r="G75" s="74" t="n"/>
      <c r="H75" s="74" t="n"/>
      <c r="I75" s="79" t="n"/>
      <c r="J75" s="83" t="n"/>
      <c r="K75" s="83" t="n"/>
      <c r="L75" s="84">
        <f>IF(OR(J75="",K75=""),"",SQRT(0.5*(J75^2+K75^2)))</f>
        <v/>
      </c>
      <c r="M75" s="75">
        <f>IF(OR(G75="",$G$75="",$G$75=0),"",G75/$G$75)</f>
        <v/>
      </c>
      <c r="N75" s="75">
        <f>IF(OR(L75="",$L$75="",$L$75=0),"",L75/$L$75)</f>
        <v/>
      </c>
      <c r="O75" s="81" t="inlineStr">
        <is>
          <t>near limit - watch False blobs</t>
        </is>
      </c>
    </row>
    <row r="76">
      <c r="A76" s="72" t="n"/>
      <c r="B76" s="85" t="n">
        <v>60</v>
      </c>
      <c r="C76" s="74" t="n"/>
      <c r="D76" s="74" t="n"/>
      <c r="E76" s="74" t="n"/>
      <c r="F76" s="74" t="n"/>
      <c r="G76" s="74" t="n"/>
      <c r="H76" s="74" t="n"/>
      <c r="I76" s="79" t="n"/>
      <c r="J76" s="83" t="n"/>
      <c r="K76" s="83" t="n"/>
      <c r="L76" s="84">
        <f>IF(OR(J76="",K76=""),"",SQRT(0.5*(J76^2+K76^2)))</f>
        <v/>
      </c>
      <c r="M76" s="75">
        <f>IF(OR(G76="",$G$75="",$G$75=0),"",G76/$G$75)</f>
        <v/>
      </c>
      <c r="N76" s="75">
        <f>IF(OR(L76="",$L$75="",$L$75=0),"",L76/$L$75)</f>
        <v/>
      </c>
      <c r="O76" s="81" t="inlineStr"/>
    </row>
    <row r="77">
      <c r="A77" s="72" t="n"/>
      <c r="B77" s="85" t="n">
        <v>50</v>
      </c>
      <c r="C77" s="74" t="n"/>
      <c r="D77" s="74" t="n"/>
      <c r="E77" s="74" t="n"/>
      <c r="F77" s="74" t="n"/>
      <c r="G77" s="74" t="n"/>
      <c r="H77" s="74" t="n"/>
      <c r="I77" s="79" t="n"/>
      <c r="J77" s="83" t="n"/>
      <c r="K77" s="83" t="n"/>
      <c r="L77" s="84">
        <f>IF(OR(J77="",K77=""),"",SQRT(0.5*(J77^2+K77^2)))</f>
        <v/>
      </c>
      <c r="M77" s="75">
        <f>IF(OR(G77="",$G$75="",$G$75=0),"",G77/$G$75)</f>
        <v/>
      </c>
      <c r="N77" s="75">
        <f>IF(OR(L77="",$L$75="",$L$75=0),"",L77/$L$75)</f>
        <v/>
      </c>
      <c r="O77" s="81" t="inlineStr"/>
    </row>
    <row r="78">
      <c r="A78" s="72" t="n"/>
      <c r="B78" s="85" t="n">
        <v>40</v>
      </c>
      <c r="C78" s="74" t="n"/>
      <c r="D78" s="74" t="n"/>
      <c r="E78" s="74" t="n"/>
      <c r="F78" s="74" t="n"/>
      <c r="G78" s="74" t="n"/>
      <c r="H78" s="74" t="n"/>
      <c r="I78" s="79" t="n"/>
      <c r="J78" s="83" t="n"/>
      <c r="K78" s="83" t="n"/>
      <c r="L78" s="84">
        <f>IF(OR(J78="",K78=""),"",SQRT(0.5*(J78^2+K78^2)))</f>
        <v/>
      </c>
      <c r="M78" s="75">
        <f>IF(OR(G78="",$G$75="",$G$75=0),"",G78/$G$75)</f>
        <v/>
      </c>
      <c r="N78" s="75">
        <f>IF(OR(L78="",$L$75="",$L$75=0),"",L78/$L$75)</f>
        <v/>
      </c>
      <c r="O78" s="81" t="inlineStr"/>
    </row>
    <row r="79">
      <c r="A79" s="72" t="n"/>
      <c r="B79" s="85" t="n">
        <v>30</v>
      </c>
      <c r="C79" s="74" t="n"/>
      <c r="D79" s="74" t="n"/>
      <c r="E79" s="74" t="n"/>
      <c r="F79" s="74" t="n"/>
      <c r="G79" s="74" t="n"/>
      <c r="H79" s="74" t="n"/>
      <c r="I79" s="79" t="n"/>
      <c r="J79" s="83" t="n"/>
      <c r="K79" s="83" t="n"/>
      <c r="L79" s="84">
        <f>IF(OR(J79="",K79=""),"",SQRT(0.5*(J79^2+K79^2)))</f>
        <v/>
      </c>
      <c r="M79" s="75">
        <f>IF(OR(G79="",$G$75="",$G$75=0),"",G79/$G$75)</f>
        <v/>
      </c>
      <c r="N79" s="75">
        <f>IF(OR(L79="",$L$75="",$L$75=0),"",L79/$L$75)</f>
        <v/>
      </c>
      <c r="O79" s="81" t="inlineStr"/>
    </row>
    <row r="80">
      <c r="A80" s="72" t="n"/>
      <c r="B80" s="85" t="n">
        <v>20</v>
      </c>
      <c r="C80" s="74" t="n"/>
      <c r="D80" s="74" t="n"/>
      <c r="E80" s="74" t="n"/>
      <c r="F80" s="74" t="n"/>
      <c r="G80" s="74" t="n"/>
      <c r="H80" s="74" t="n"/>
      <c r="I80" s="79" t="n"/>
      <c r="J80" s="83" t="n"/>
      <c r="K80" s="83" t="n"/>
      <c r="L80" s="84">
        <f>IF(OR(J80="",K80=""),"",SQRT(0.5*(J80^2+K80^2)))</f>
        <v/>
      </c>
      <c r="M80" s="75">
        <f>IF(OR(G80="",$G$75="",$G$75=0),"",G80/$G$75)</f>
        <v/>
      </c>
      <c r="N80" s="75">
        <f>IF(OR(L80="",$L$75="",$L$75=0),"",L80/$L$75)</f>
        <v/>
      </c>
      <c r="O80" s="81" t="inlineStr"/>
    </row>
    <row r="82">
      <c r="A82" s="120" t="inlineStr">
        <is>
          <t>Chosen THRESH_LO</t>
        </is>
      </c>
      <c r="B82" s="74" t="n"/>
      <c r="C82" s="121" t="inlineStr">
        <is>
          <t>CHANGING THIS INVALIDATES every area figure taken at 80 - re-measure Test A if you adopt a new value</t>
        </is>
      </c>
    </row>
    <row r="83">
      <c r="A83" s="120" t="inlineStr">
        <is>
          <t>New AREA_MIN_SENSOR</t>
        </is>
      </c>
      <c r="B83" s="74" t="n"/>
      <c r="C83" s="121" t="inlineStr">
        <is>
          <t>~0.7x the area seen at max range AT THE CHOSEN THRESHOLD</t>
        </is>
      </c>
    </row>
    <row r="85">
      <c r="A85" s="76" t="inlineStr">
        <is>
          <t>HOW TO READ THIS</t>
        </is>
      </c>
    </row>
    <row r="86">
      <c r="A86" s="91" t="inlineStr">
        <is>
          <t>Lowering THRESH_LO admits more of the blob's dim skirt. Area should GROW and sigma should IMPROVE, because the weighted centroid gets more pixels to interpolate across - and at maximum range that is the whole game.</t>
        </is>
      </c>
    </row>
    <row r="87">
      <c r="A87" s="91" t="inlineStr">
        <is>
          <t>The limit is NOT the sensor floor. Background max is 4, so even a threshold of 20 sits 5x above it. The limit is FALSE BLOBS from reflections, stray IR and marker glare off nearby surfaces - which is why the False blobs column counts what appears in the whole frame, not just at the marker.</t>
        </is>
      </c>
    </row>
    <row r="88">
      <c r="A88" s="91" t="inlineStr">
        <is>
          <t>Run the near limit too. A threshold that is ideal at 5 m may pick up reflections at 1 m, where the marker is brightest and glare off the rig is worst. The chosen value has to survive BOTH ends.</t>
        </is>
      </c>
    </row>
    <row r="89">
      <c r="A89" s="91" t="inlineStr">
        <is>
          <t>AREA_MIN_SENSOR is defined in pixels above THRESH_LO, so it MUST be recomputed if the threshold changes: set it to ~0.7x the area seen at maximum range at the new threshold. It is still carrying its 'STILL NEED to calibrate' comment in kalmanFilter.py at 120.</t>
        </is>
      </c>
    </row>
    <row r="90">
      <c r="A90" s="91" t="inlineStr">
        <is>
          <t>REFINE_FLOOR is a separate knob and does not have to follow. It sits at 50 against a background of 4, so it has enormous margin - but it is what mode_floor optimised sigma against, so re-sweep it after any THRESH_LO change rather than assuming 50 still wins.</t>
        </is>
      </c>
    </row>
    <row r="91">
      <c r="A91" s="91" t="inlineStr">
        <is>
          <t>If you adopt a new THRESH_LO, every Sensor area figure measured at 80 becomes incomparable and Test A has to be repeated. Decide this BEFORE the final Test A run, not after.</t>
        </is>
      </c>
    </row>
  </sheetData>
  <pageMargins left="0.75" right="0.75" top="1" bottom="1" header="0.5" footer="0.5"/>
</worksheet>
</file>

<file path=xl/worksheets/sheet7.xml><?xml version="1.0" encoding="utf-8"?>
<worksheet xmlns="http://schemas.openxmlformats.org/spreadsheetml/2006/main">
  <sheetPr>
    <tabColor rgb="FF1F3864"/>
    <outlinePr summaryBelow="1" summaryRight="1"/>
    <pageSetUpPr/>
  </sheetPr>
  <dimension ref="A1:Q53"/>
  <sheetViews>
    <sheetView showGridLines="0" workbookViewId="0">
      <pane ySplit="9" topLeftCell="A10" activePane="bottomLeft" state="frozen"/>
      <selection pane="bottomLeft" activeCell="A1" sqref="A1"/>
    </sheetView>
  </sheetViews>
  <sheetFormatPr baseColWidth="8" defaultRowHeight="15"/>
  <cols>
    <col width="15" customWidth="1" min="1" max="1"/>
    <col width="13" customWidth="1" min="2" max="2"/>
    <col width="12" customWidth="1" min="3" max="3"/>
    <col width="10" customWidth="1" min="4" max="4"/>
    <col width="10" customWidth="1" min="5" max="5"/>
    <col width="10" customWidth="1" min="6" max="6"/>
    <col width="11" customWidth="1" min="7" max="7"/>
    <col width="12" customWidth="1" min="8" max="8"/>
    <col width="10" customWidth="1" min="9" max="9"/>
    <col width="10" customWidth="1" min="10" max="10"/>
    <col width="11" customWidth="1" min="11" max="11"/>
    <col width="12" customWidth="1" min="12" max="12"/>
    <col width="12" customWidth="1" min="13" max="13"/>
    <col width="12" customWidth="1" min="14" max="14"/>
    <col width="13" customWidth="1" min="15" max="15"/>
    <col width="12" customWidth="1" min="16" max="16"/>
    <col width="34" customWidth="1" min="17" max="17"/>
  </cols>
  <sheetData>
    <row r="1" ht="18" customHeight="1">
      <c r="A1" s="65" t="inlineStr">
        <is>
          <t>TEST E - Pulsed / strobed drive</t>
        </is>
      </c>
    </row>
    <row r="2">
      <c r="A2" s="66" t="inlineStr">
        <is>
          <t>Blue on yellow = fill in.  Black = calculated.  Everything on A_Bench was measured DC; this is the operating condition the strobed PCB will actually run in. Rolling shutter: each row starts integrating 21.3 us after the one above it, so a pulse shorter than the sweep across the marker lights only PART of it and drags the centroid.</t>
        </is>
      </c>
    </row>
    <row r="3">
      <c r="A3" s="71" t="inlineStr">
        <is>
          <t>Row time (us)</t>
        </is>
      </c>
      <c r="B3" s="72" t="n">
        <v>21.3</v>
      </c>
      <c r="C3" s="73" t="inlineStr">
        <is>
          <t>one sensor row. Measured: exposure quantises to this</t>
        </is>
      </c>
    </row>
    <row r="4">
      <c r="A4" s="71" t="inlineStr">
        <is>
          <t>Marker row span</t>
        </is>
      </c>
      <c r="B4" s="74" t="n">
        <v>30</v>
      </c>
      <c r="C4" s="73" t="inlineStr">
        <is>
          <t>marker height in sensor rows at the working distance</t>
        </is>
      </c>
    </row>
    <row r="5">
      <c r="A5" s="71" t="inlineStr">
        <is>
          <t>Min pulse (ms)</t>
        </is>
      </c>
      <c r="B5" s="75">
        <f>IF(OR(B3="",B4="",B6=""),"",(B4*B3+B6)/1000)</f>
        <v/>
      </c>
      <c r="C5" s="73">
        <f> (row span x row time + exposure). Below this the marker is only partly lit</f>
        <v/>
      </c>
    </row>
    <row r="6">
      <c r="A6" s="71" t="inlineStr">
        <is>
          <t>Exposure (us)</t>
        </is>
      </c>
      <c r="B6" s="74" t="n"/>
      <c r="C6" s="66" t="inlineStr">
        <is>
          <t>the exposure Test A landed for this build</t>
        </is>
      </c>
    </row>
    <row r="8">
      <c r="A8" s="76" t="inlineStr">
        <is>
          <t>E1 - PULSE WIDTH SWEEP   (one build, fixed duty and exposure. Where does the banding start?)</t>
        </is>
      </c>
    </row>
    <row r="9" ht="32" customHeight="1">
      <c r="A9" s="77" t="inlineStr">
        <is>
          <t>LED Type</t>
        </is>
      </c>
      <c r="B9" s="77" t="inlineStr">
        <is>
          <t>Build</t>
        </is>
      </c>
      <c r="C9" s="77" t="inlineStr">
        <is>
          <t>Pulse width
(ms)</t>
        </is>
      </c>
      <c r="D9" s="77" t="inlineStr">
        <is>
          <t>Period
(ms)</t>
        </is>
      </c>
      <c r="E9" s="77" t="inlineStr">
        <is>
          <t>Duty
(%)</t>
        </is>
      </c>
      <c r="F9" s="77" t="inlineStr">
        <is>
          <t>Peak I
(mA)</t>
        </is>
      </c>
      <c r="G9" s="77" t="inlineStr">
        <is>
          <t>Exposure
(us)</t>
        </is>
      </c>
      <c r="H9" s="77" t="inlineStr">
        <is>
          <t>Peak
(0-255)</t>
        </is>
      </c>
      <c r="I9" s="77" t="inlineStr">
        <is>
          <t>Sensor area
(px)</t>
        </is>
      </c>
      <c r="J9" s="77" t="inlineStr">
        <is>
          <t>blobs</t>
        </is>
      </c>
      <c r="K9" s="77" t="inlineStr">
        <is>
          <t>w/h</t>
        </is>
      </c>
      <c r="L9" s="77" t="inlineStr">
        <is>
          <t>Fill
(centre/rim)</t>
        </is>
      </c>
      <c r="M9" s="77" t="inlineStr">
        <is>
          <t>Banded?
(Y/N)</t>
        </is>
      </c>
      <c r="N9" s="77" t="inlineStr">
        <is>
          <t>Centroid shift
vs DC (px)</t>
        </is>
      </c>
      <c r="O9" s="77" t="inlineStr">
        <is>
          <t>Uniform?</t>
        </is>
      </c>
      <c r="P9" s="77" t="inlineStr">
        <is>
          <t>Notes</t>
        </is>
      </c>
    </row>
    <row r="10">
      <c r="A10" s="78" t="n"/>
      <c r="B10" s="78" t="n"/>
      <c r="C10" s="75" t="n">
        <v>0.25</v>
      </c>
      <c r="D10" s="74" t="n"/>
      <c r="E10" s="74" t="n"/>
      <c r="F10" s="74" t="n"/>
      <c r="G10" s="74" t="n"/>
      <c r="H10" s="74" t="n"/>
      <c r="I10" s="74" t="n"/>
      <c r="J10" s="74" t="n"/>
      <c r="K10" s="79" t="n"/>
      <c r="L10" s="79" t="n"/>
      <c r="M10" s="79" t="n"/>
      <c r="N10" s="79" t="n"/>
      <c r="O10" s="80">
        <f>IF(OR(M10="",L10=""),"",IF(AND(UPPER(M10)="N",L10&gt;=0.85),"pass","FAIL"))</f>
        <v/>
      </c>
      <c r="P10" s="81" t="n"/>
    </row>
    <row r="11">
      <c r="A11" s="78" t="n"/>
      <c r="B11" s="78" t="n"/>
      <c r="C11" s="75" t="n">
        <v>0.5</v>
      </c>
      <c r="D11" s="74" t="n"/>
      <c r="E11" s="74" t="n"/>
      <c r="F11" s="74" t="n"/>
      <c r="G11" s="74" t="n"/>
      <c r="H11" s="74" t="n"/>
      <c r="I11" s="74" t="n"/>
      <c r="J11" s="74" t="n"/>
      <c r="K11" s="79" t="n"/>
      <c r="L11" s="79" t="n"/>
      <c r="M11" s="79" t="n"/>
      <c r="N11" s="79" t="n"/>
      <c r="O11" s="80">
        <f>IF(OR(M11="",L11=""),"",IF(AND(UPPER(M11)="N",L11&gt;=0.85),"pass","FAIL"))</f>
        <v/>
      </c>
      <c r="P11" s="81" t="n"/>
    </row>
    <row r="12">
      <c r="A12" s="78" t="n"/>
      <c r="B12" s="78" t="n"/>
      <c r="C12" s="75" t="n">
        <v>1</v>
      </c>
      <c r="D12" s="74" t="n"/>
      <c r="E12" s="74" t="n"/>
      <c r="F12" s="74" t="n"/>
      <c r="G12" s="74" t="n"/>
      <c r="H12" s="74" t="n"/>
      <c r="I12" s="74" t="n"/>
      <c r="J12" s="74" t="n"/>
      <c r="K12" s="79" t="n"/>
      <c r="L12" s="79" t="n"/>
      <c r="M12" s="79" t="n"/>
      <c r="N12" s="79" t="n"/>
      <c r="O12" s="80">
        <f>IF(OR(M12="",L12=""),"",IF(AND(UPPER(M12)="N",L12&gt;=0.85),"pass","FAIL"))</f>
        <v/>
      </c>
      <c r="P12" s="81" t="n"/>
    </row>
    <row r="13">
      <c r="A13" s="78" t="n"/>
      <c r="B13" s="78" t="n"/>
      <c r="C13" s="75" t="n">
        <v>2</v>
      </c>
      <c r="D13" s="74" t="n"/>
      <c r="E13" s="74" t="n"/>
      <c r="F13" s="74" t="n"/>
      <c r="G13" s="74" t="n"/>
      <c r="H13" s="74" t="n"/>
      <c r="I13" s="74" t="n"/>
      <c r="J13" s="74" t="n"/>
      <c r="K13" s="79" t="n"/>
      <c r="L13" s="79" t="n"/>
      <c r="M13" s="79" t="n"/>
      <c r="N13" s="79" t="n"/>
      <c r="O13" s="80">
        <f>IF(OR(M13="",L13=""),"",IF(AND(UPPER(M13)="N",L13&gt;=0.85),"pass","FAIL"))</f>
        <v/>
      </c>
      <c r="P13" s="81" t="n"/>
    </row>
    <row r="14">
      <c r="A14" s="78" t="n"/>
      <c r="B14" s="78" t="n"/>
      <c r="C14" s="75" t="n">
        <v>4</v>
      </c>
      <c r="D14" s="74" t="n"/>
      <c r="E14" s="74" t="n"/>
      <c r="F14" s="74" t="n"/>
      <c r="G14" s="74" t="n"/>
      <c r="H14" s="74" t="n"/>
      <c r="I14" s="74" t="n"/>
      <c r="J14" s="74" t="n"/>
      <c r="K14" s="79" t="n"/>
      <c r="L14" s="79" t="n"/>
      <c r="M14" s="79" t="n"/>
      <c r="N14" s="79" t="n"/>
      <c r="O14" s="80">
        <f>IF(OR(M14="",L14=""),"",IF(AND(UPPER(M14)="N",L14&gt;=0.85),"pass","FAIL"))</f>
        <v/>
      </c>
      <c r="P14" s="81" t="n"/>
    </row>
    <row r="15">
      <c r="A15" s="78" t="n"/>
      <c r="B15" s="78" t="n"/>
      <c r="C15" s="75" t="n">
        <v>8</v>
      </c>
      <c r="D15" s="74" t="n"/>
      <c r="E15" s="74" t="n"/>
      <c r="F15" s="74" t="n"/>
      <c r="G15" s="74" t="n"/>
      <c r="H15" s="74" t="n"/>
      <c r="I15" s="74" t="n"/>
      <c r="J15" s="74" t="n"/>
      <c r="K15" s="79" t="n"/>
      <c r="L15" s="79" t="n"/>
      <c r="M15" s="79" t="n"/>
      <c r="N15" s="79" t="n"/>
      <c r="O15" s="80">
        <f>IF(OR(M15="",L15=""),"",IF(AND(UPPER(M15)="N",L15&gt;=0.85),"pass","FAIL"))</f>
        <v/>
      </c>
      <c r="P15" s="81" t="n"/>
    </row>
    <row r="16">
      <c r="A16" s="78" t="n"/>
      <c r="B16" s="78" t="n"/>
      <c r="C16" s="75" t="n">
        <v>16</v>
      </c>
      <c r="D16" s="74" t="n"/>
      <c r="E16" s="74" t="n"/>
      <c r="F16" s="74" t="n"/>
      <c r="G16" s="74" t="n"/>
      <c r="H16" s="74" t="n"/>
      <c r="I16" s="74" t="n"/>
      <c r="J16" s="74" t="n"/>
      <c r="K16" s="79" t="n"/>
      <c r="L16" s="79" t="n"/>
      <c r="M16" s="79" t="n"/>
      <c r="N16" s="79" t="n"/>
      <c r="O16" s="80">
        <f>IF(OR(M16="",L16=""),"",IF(AND(UPPER(M16)="N",L16&gt;=0.85),"pass","FAIL"))</f>
        <v/>
      </c>
      <c r="P16" s="81" t="n"/>
    </row>
    <row r="18">
      <c r="A18" s="76" t="inlineStr">
        <is>
          <t>E2 - OPERATING POINT vs DC   (does pulsing change sigma, fill or the centroid?)</t>
        </is>
      </c>
    </row>
    <row r="19" ht="32" customHeight="1">
      <c r="A19" s="77" t="inlineStr">
        <is>
          <t>LED Type</t>
        </is>
      </c>
      <c r="B19" s="77" t="inlineStr">
        <is>
          <t>Build</t>
        </is>
      </c>
      <c r="C19" s="77" t="inlineStr">
        <is>
          <t>Peak I
(mA)</t>
        </is>
      </c>
      <c r="D19" s="77" t="inlineStr">
        <is>
          <t>Duty
(%)</t>
        </is>
      </c>
      <c r="E19" s="77" t="inlineStr">
        <is>
          <t>Pulse
(ms)</t>
        </is>
      </c>
      <c r="F19" s="77" t="inlineStr">
        <is>
          <t>Exposure
(us)</t>
        </is>
      </c>
      <c r="G19" s="77" t="inlineStr">
        <is>
          <t>Peak
(0-255)</t>
        </is>
      </c>
      <c r="H19" s="77" t="inlineStr">
        <is>
          <t>Sensor area
(px)</t>
        </is>
      </c>
      <c r="I19" s="77" t="inlineStr">
        <is>
          <t>blobs</t>
        </is>
      </c>
      <c r="J19" s="77" t="inlineStr">
        <is>
          <t>w/h</t>
        </is>
      </c>
      <c r="K19" s="77" t="inlineStr">
        <is>
          <t>Fill</t>
        </is>
      </c>
      <c r="L19" s="77" t="inlineStr">
        <is>
          <t>sigma_u
(px)</t>
        </is>
      </c>
      <c r="M19" s="77" t="inlineStr">
        <is>
          <t>sigma_v
(px)</t>
        </is>
      </c>
      <c r="N19" s="77" t="inlineStr">
        <is>
          <t>sigma_RMS
(px)</t>
        </is>
      </c>
      <c r="O19" s="77" t="inlineStr">
        <is>
          <t>DC sigma_RMS</t>
        </is>
      </c>
      <c r="P19" s="77" t="inlineStr">
        <is>
          <t>Pulsed / DC</t>
        </is>
      </c>
      <c r="Q19" s="77" t="inlineStr">
        <is>
          <t>Notes</t>
        </is>
      </c>
    </row>
    <row r="20">
      <c r="A20" s="82" t="inlineStr">
        <is>
          <t>Kingbright</t>
        </is>
      </c>
      <c r="B20" s="80" t="inlineStr">
        <is>
          <t>25 mm</t>
        </is>
      </c>
      <c r="C20" s="74" t="n"/>
      <c r="D20" s="79" t="n"/>
      <c r="E20" s="79" t="n"/>
      <c r="F20" s="74" t="n"/>
      <c r="G20" s="74" t="n"/>
      <c r="H20" s="74" t="n"/>
      <c r="I20" s="74" t="n"/>
      <c r="J20" s="79" t="n"/>
      <c r="K20" s="79" t="n"/>
      <c r="L20" s="83" t="n"/>
      <c r="M20" s="83" t="n"/>
      <c r="N20" s="84">
        <f>IF(OR(L20="",M20=""),"",SQRT(0.5*(L20^2+M20^2)))</f>
        <v/>
      </c>
      <c r="O20" s="84">
        <f>IFERROR(A_Bench!R16,"")</f>
        <v/>
      </c>
      <c r="P20" s="75">
        <f>IF(OR(N20="",O20="",O20=0),"",N20/O20)</f>
        <v/>
      </c>
      <c r="Q20" s="81" t="n"/>
    </row>
    <row r="21">
      <c r="A21" s="82" t="inlineStr">
        <is>
          <t>Vishay</t>
        </is>
      </c>
      <c r="B21" s="80" t="inlineStr">
        <is>
          <t>25 mm</t>
        </is>
      </c>
      <c r="C21" s="74" t="n"/>
      <c r="D21" s="79" t="n"/>
      <c r="E21" s="79" t="n"/>
      <c r="F21" s="74" t="n"/>
      <c r="G21" s="74" t="n"/>
      <c r="H21" s="74" t="n"/>
      <c r="I21" s="74" t="n"/>
      <c r="J21" s="79" t="n"/>
      <c r="K21" s="79" t="n"/>
      <c r="L21" s="83" t="n"/>
      <c r="M21" s="83" t="n"/>
      <c r="N21" s="84">
        <f>IF(OR(L21="",M21=""),"",SQRT(0.5*(L21^2+M21^2)))</f>
        <v/>
      </c>
      <c r="O21" s="84">
        <f>IFERROR(A_Bench!R13,"")</f>
        <v/>
      </c>
      <c r="P21" s="75">
        <f>IF(OR(N21="",O21="",O21=0),"",N21/O21)</f>
        <v/>
      </c>
      <c r="Q21" s="81" t="n"/>
    </row>
    <row r="22">
      <c r="A22" s="82" t="inlineStr">
        <is>
          <t>Kingbright</t>
        </is>
      </c>
      <c r="B22" s="80" t="inlineStr">
        <is>
          <t>20 mm</t>
        </is>
      </c>
      <c r="C22" s="74" t="n"/>
      <c r="D22" s="79" t="n"/>
      <c r="E22" s="79" t="n"/>
      <c r="F22" s="74" t="n"/>
      <c r="G22" s="74" t="n"/>
      <c r="H22" s="74" t="n"/>
      <c r="I22" s="74" t="n"/>
      <c r="J22" s="79" t="n"/>
      <c r="K22" s="79" t="n"/>
      <c r="L22" s="83" t="n"/>
      <c r="M22" s="83" t="n"/>
      <c r="N22" s="84">
        <f>IF(OR(L22="",M22=""),"",SQRT(0.5*(L22^2+M22^2)))</f>
        <v/>
      </c>
      <c r="O22" s="84">
        <f>IFERROR(A_Bench!R12,"")</f>
        <v/>
      </c>
      <c r="P22" s="75">
        <f>IF(OR(N22="",O22="",O22=0),"",N22/O22)</f>
        <v/>
      </c>
      <c r="Q22" s="81" t="n"/>
    </row>
    <row r="23">
      <c r="A23" s="82" t="inlineStr">
        <is>
          <t>XL</t>
        </is>
      </c>
      <c r="B23" s="80" t="inlineStr">
        <is>
          <t>25 mm</t>
        </is>
      </c>
      <c r="C23" s="74" t="n"/>
      <c r="D23" s="79" t="n"/>
      <c r="E23" s="79" t="n"/>
      <c r="F23" s="74" t="n"/>
      <c r="G23" s="74" t="n"/>
      <c r="H23" s="74" t="n"/>
      <c r="I23" s="74" t="n"/>
      <c r="J23" s="79" t="n"/>
      <c r="K23" s="79" t="n"/>
      <c r="L23" s="83" t="n"/>
      <c r="M23" s="83" t="n"/>
      <c r="N23" s="84">
        <f>IF(OR(L23="",M23=""),"",SQRT(0.5*(L23^2+M23^2)))</f>
        <v/>
      </c>
      <c r="O23" s="84">
        <f>IFERROR(A_Bench!R15,"")</f>
        <v/>
      </c>
      <c r="P23" s="75">
        <f>IF(OR(N23="",O23="",O23=0),"",N23/O23)</f>
        <v/>
      </c>
      <c r="Q23" s="81" t="n"/>
    </row>
    <row r="25">
      <c r="A25" s="76" t="inlineStr">
        <is>
          <t>E3 - TIMING RECOVERY   (how precisely can a strobe edge be read off the rolling shutter?)</t>
        </is>
      </c>
    </row>
    <row r="26">
      <c r="A26" s="66" t="inlineStr">
        <is>
          <t>Catch a frame containing an ON-&gt;OFF or OFF-&gt;ON transition. The boundary row is when the edge happened. Transition width is how many rows it takes to go from lit to dark - that width, times the row time, IS your timing resolution.</t>
        </is>
      </c>
    </row>
    <row r="27" ht="32" customHeight="1">
      <c r="A27" s="77" t="inlineStr">
        <is>
          <t>Trial</t>
        </is>
      </c>
      <c r="B27" s="77" t="inlineStr">
        <is>
          <t>Edge
(ON-&gt;OFF / OFF-&gt;ON)</t>
        </is>
      </c>
      <c r="C27" s="77" t="inlineStr">
        <is>
          <t>Boundary
row</t>
        </is>
      </c>
      <c r="D27" s="77" t="inlineStr">
        <is>
          <t>Transition width
(rows)</t>
        </is>
      </c>
      <c r="E27" s="77" t="inlineStr">
        <is>
          <t>Timing resolution
(us)</t>
        </is>
      </c>
      <c r="F27" s="77" t="inlineStr">
        <is>
          <t>Notes</t>
        </is>
      </c>
    </row>
    <row r="28">
      <c r="A28" s="85" t="n">
        <v>1</v>
      </c>
      <c r="B28" s="78" t="n"/>
      <c r="C28" s="74" t="n"/>
      <c r="D28" s="74" t="n"/>
      <c r="E28" s="86">
        <f>IF(OR(D28="",$B$3=""),"",D28*$B$3)</f>
        <v/>
      </c>
      <c r="F28" s="81" t="n"/>
    </row>
    <row r="29">
      <c r="A29" s="85" t="n">
        <v>2</v>
      </c>
      <c r="B29" s="78" t="n"/>
      <c r="C29" s="74" t="n"/>
      <c r="D29" s="74" t="n"/>
      <c r="E29" s="86">
        <f>IF(OR(D29="",$B$3=""),"",D29*$B$3)</f>
        <v/>
      </c>
      <c r="F29" s="81" t="n"/>
    </row>
    <row r="30">
      <c r="A30" s="85" t="n">
        <v>3</v>
      </c>
      <c r="B30" s="78" t="n"/>
      <c r="C30" s="74" t="n"/>
      <c r="D30" s="74" t="n"/>
      <c r="E30" s="86">
        <f>IF(OR(D30="",$B$3=""),"",D30*$B$3)</f>
        <v/>
      </c>
      <c r="F30" s="81" t="n"/>
    </row>
    <row r="31">
      <c r="A31" s="85" t="n">
        <v>4</v>
      </c>
      <c r="B31" s="78" t="n"/>
      <c r="C31" s="74" t="n"/>
      <c r="D31" s="74" t="n"/>
      <c r="E31" s="86">
        <f>IF(OR(D31="",$B$3=""),"",D31*$B$3)</f>
        <v/>
      </c>
      <c r="F31" s="81" t="n"/>
    </row>
    <row r="32">
      <c r="A32" s="85" t="n">
        <v>5</v>
      </c>
      <c r="B32" s="78" t="n"/>
      <c r="C32" s="74" t="n"/>
      <c r="D32" s="74" t="n"/>
      <c r="E32" s="86">
        <f>IF(OR(D32="",$B$3=""),"",D32*$B$3)</f>
        <v/>
      </c>
      <c r="F32" s="81" t="n"/>
    </row>
    <row r="33">
      <c r="A33" s="85" t="n">
        <v>6</v>
      </c>
      <c r="B33" s="78" t="n"/>
      <c r="C33" s="74" t="n"/>
      <c r="D33" s="74" t="n"/>
      <c r="E33" s="86">
        <f>IF(OR(D33="",$B$3=""),"",D33*$B$3)</f>
        <v/>
      </c>
      <c r="F33" s="81" t="n"/>
    </row>
    <row r="34">
      <c r="A34" s="85" t="n">
        <v>7</v>
      </c>
      <c r="B34" s="78" t="n"/>
      <c r="C34" s="74" t="n"/>
      <c r="D34" s="74" t="n"/>
      <c r="E34" s="86">
        <f>IF(OR(D34="",$B$3=""),"",D34*$B$3)</f>
        <v/>
      </c>
      <c r="F34" s="81" t="n"/>
    </row>
    <row r="35">
      <c r="A35" s="85" t="n">
        <v>8</v>
      </c>
      <c r="B35" s="78" t="n"/>
      <c r="C35" s="74" t="n"/>
      <c r="D35" s="74" t="n"/>
      <c r="E35" s="86">
        <f>IF(OR(D35="",$B$3=""),"",D35*$B$3)</f>
        <v/>
      </c>
      <c r="F35" s="81" t="n"/>
    </row>
    <row r="36">
      <c r="A36" s="85" t="n">
        <v>9</v>
      </c>
      <c r="B36" s="78" t="n"/>
      <c r="C36" s="74" t="n"/>
      <c r="D36" s="74" t="n"/>
      <c r="E36" s="86">
        <f>IF(OR(D36="",$B$3=""),"",D36*$B$3)</f>
        <v/>
      </c>
      <c r="F36" s="81" t="n"/>
    </row>
    <row r="37">
      <c r="A37" s="85" t="n">
        <v>10</v>
      </c>
      <c r="B37" s="78" t="n"/>
      <c r="C37" s="74" t="n"/>
      <c r="D37" s="74" t="n"/>
      <c r="E37" s="86">
        <f>IF(OR(D37="",$B$3=""),"",D37*$B$3)</f>
        <v/>
      </c>
      <c r="F37" s="81" t="n"/>
    </row>
    <row r="38">
      <c r="D38" s="87" t="inlineStr">
        <is>
          <t>mean</t>
        </is>
      </c>
      <c r="E38" s="88">
        <f>IF(COUNT(E28:E37)=0,"",AVERAGE(E28:E37))</f>
        <v/>
      </c>
    </row>
    <row r="39">
      <c r="D39" s="87" t="inlineStr">
        <is>
          <t>SD</t>
        </is>
      </c>
      <c r="E39" s="88">
        <f>IFERROR(STDEV(E28:E37),"")</f>
        <v/>
      </c>
    </row>
    <row r="40">
      <c r="D40" s="87" t="inlineStr">
        <is>
          <t>wand err</t>
        </is>
      </c>
      <c r="E40" s="89">
        <f>IF(OR(E38="",$B$42="",$B$43=""),"",E38*$B$42*$B$43/1000000)</f>
        <v/>
      </c>
      <c r="F40" s="73" t="inlineStr">
        <is>
          <t>px of reprojection error at the wand speed below</t>
        </is>
      </c>
    </row>
    <row r="42">
      <c r="A42" s="71" t="inlineStr">
        <is>
          <t>Wand speed (m/s)</t>
        </is>
      </c>
      <c r="B42" s="79" t="n">
        <v>0.3</v>
      </c>
    </row>
    <row r="43">
      <c r="A43" s="71" t="inlineStr">
        <is>
          <t>Image scale (px/s per m/s)</t>
        </is>
      </c>
      <c r="B43" s="74" t="n">
        <v>1300</v>
      </c>
      <c r="C43" s="73" t="inlineStr">
        <is>
          <t>~f_px/distance. PROVISIONAL until the intrinsics are calibrated</t>
        </is>
      </c>
    </row>
    <row r="44">
      <c r="A44" s="71" t="inlineStr">
        <is>
          <t>Timing error budget (us)</t>
        </is>
      </c>
      <c r="B44" s="90">
        <f>IF(OR(B42="",B43="",B42=0,B43=0),"",0.1/(B42*B43)*1000000)</f>
        <v/>
      </c>
      <c r="C44" s="73" t="inlineStr">
        <is>
          <t>how much timing error costs 0.1 px at that wand speed</t>
        </is>
      </c>
    </row>
    <row r="46">
      <c r="A46" s="76" t="inlineStr">
        <is>
          <t>HOW TO READ THIS</t>
        </is>
      </c>
    </row>
    <row r="47">
      <c r="A47" s="91" t="inlineStr">
        <is>
          <t>E1 finds the MINIMUM pulse width. Rolling shutter means row r starts integrating r x 21.3 us after row 0, so a pulse shorter than (marker row span x row time + exposure) lights only some of the marker's rows. That is a centroid BIAS that moves with the LED-camera phase, and the EKF cannot see it. Cell B5 computes the floor for you.</t>
        </is>
      </c>
    </row>
    <row r="48">
      <c r="A48" s="91" t="inlineStr">
        <is>
          <t>Banding from a short pulse looks like banding from saturation, which was measured on this sensor on 2026-08-30. Tell them apart: saturation banding only appears when the blob CLIPS (unsaturated, even and odd rows matched to 0.3%), while strobe banding shows a sharp boundary row and appears whether or not it clips.</t>
        </is>
      </c>
    </row>
    <row r="49">
      <c r="A49" s="91" t="inlineStr">
        <is>
          <t>E2 checks that pulsing has not changed the marker optically. Fill and blobs are geometry and should not move at all. If Pulsed/DC sigma is near 1.00 the strobe is harmless; if it is above ~1.2 the pulse is too short, the duty is starving the exposure, or the supply is sagging under the pulse.</t>
        </is>
      </c>
    </row>
    <row r="50">
      <c r="A50" s="91" t="inlineStr">
        <is>
          <t>E3 turns the rolling shutter into a clock. Each row is a distinct timestamp, so the row where the strobe edge lands says WHEN the edge happened to about one row time - roughly 21 us, against 10-30 ms for frame-level alignment. That is the whole reason this works without hardware sync.</t>
        </is>
      </c>
    </row>
    <row r="51">
      <c r="A51" s="91" t="inlineStr">
        <is>
          <t>The budget cell converts timing error into reprojection error at your wand speed. At 0.3 m/s and ~1300 px/s per m/s, 0.1 px costs about 250 us - comfortably inside one row time, so gentle wand motion plus edge reading should be plenty.</t>
        </is>
      </c>
    </row>
    <row r="52">
      <c r="A52" s="91" t="inlineStr">
        <is>
          <t>Drive notes: a series resistor off 9 V cannot pulse. The string needs a MOSFET and a bulk capacitor across it, because a PP3 has high internal resistance and only ~2.6 V of headroom - a current spike will sag the battery and modulate your own brightness. Verify with a fixed-exposure drift run: peak held 180.9-183.0 over 75 s on DC, so any wobble under pulse is the supply, not the LED.</t>
        </is>
      </c>
    </row>
    <row r="53">
      <c r="A53" s="91" t="inlineStr">
        <is>
          <t>Duty vs pulse width pull in opposite directions. Pulsed overdrive needs LOW duty; uniform illumination needs a LONG pulse. Both are satisfiable only by lengthening the PERIOD - but the marker must be lit during EVERY tracking exposure, so a low-duty strobe will make most frames blank. Prefer mostly-ON with brief OFF gaps: tracking continues, and the OFF edges carry the timing.</t>
        </is>
      </c>
    </row>
  </sheetData>
  <pageMargins left="0.75" right="0.75" top="1" bottom="1" header="0.5" footer="0.5"/>
</worksheet>
</file>

<file path=xl/worksheets/sheet8.xml><?xml version="1.0" encoding="utf-8"?>
<worksheet xmlns="http://schemas.openxmlformats.org/spreadsheetml/2006/main">
  <sheetPr>
    <tabColor rgb="FF1F3864"/>
    <outlinePr summaryBelow="1" summaryRight="1"/>
    <pageSetUpPr/>
  </sheetPr>
  <dimension ref="A1:M72"/>
  <sheetViews>
    <sheetView showGridLines="0" workbookViewId="0">
      <pane ySplit="5" topLeftCell="A6" activePane="bottomLeft" state="frozen"/>
      <selection pane="bottomLeft" activeCell="A1" sqref="A1"/>
    </sheetView>
  </sheetViews>
  <sheetFormatPr baseColWidth="8" defaultRowHeight="15"/>
  <cols>
    <col width="30" customWidth="1" min="1" max="1"/>
    <col width="13" customWidth="1" min="2" max="2"/>
    <col width="12" customWidth="1" min="3" max="3"/>
    <col width="10" customWidth="1" min="4" max="4"/>
    <col width="10" customWidth="1" min="5" max="5"/>
    <col width="10" customWidth="1" min="6" max="6"/>
    <col width="12" customWidth="1" min="7" max="7"/>
    <col width="12" customWidth="1" min="8" max="8"/>
    <col width="13" customWidth="1" min="9" max="9"/>
    <col width="12" customWidth="1" min="10" max="10"/>
    <col width="12" customWidth="1" min="11" max="11"/>
    <col width="13" customWidth="1" min="12" max="12"/>
    <col width="34" customWidth="1" min="13" max="13"/>
  </cols>
  <sheetData>
    <row r="1">
      <c r="A1" s="65" t="inlineStr">
        <is>
          <t>TEST F - Ambient IR and threshold headroom</t>
        </is>
      </c>
    </row>
    <row r="2">
      <c r="A2" s="66" t="inlineStr">
        <is>
          <t>Decides whether the long-exposure strobe scheme (Test E, regime B) is available. A long exposure collects a long dose of background. Raising THRESH_LO hides the background OFFSET but not its NOISE, and it does not recover the dynamic range the pedestal eats.</t>
        </is>
      </c>
    </row>
    <row r="4">
      <c r="A4" s="76" t="inlineStr">
        <is>
          <t>F1 - BACKGROUND vs EXPOSURE   (LEDs OFF, under the lighting you will actually calibrate in)</t>
        </is>
      </c>
    </row>
    <row r="5" ht="32" customHeight="1">
      <c r="A5" s="77" t="inlineStr">
        <is>
          <t>Condition</t>
        </is>
      </c>
      <c r="B5" s="77" t="inlineStr">
        <is>
          <t>Exposure
(us, requested)</t>
        </is>
      </c>
      <c r="C5" s="77" t="inlineStr">
        <is>
          <t>Exposure
(us, actual)</t>
        </is>
      </c>
      <c r="D5" s="77" t="inlineStr">
        <is>
          <t>bg mean</t>
        </is>
      </c>
      <c r="E5" s="77" t="inlineStr">
        <is>
          <t>bg SD</t>
        </is>
      </c>
      <c r="F5" s="77" t="inlineStr">
        <is>
          <t>bg max</t>
        </is>
      </c>
      <c r="G5" s="77" t="inlineStr">
        <is>
          <t>Uniformity
(max-min)</t>
        </is>
      </c>
      <c r="H5" s="77" t="inlineStr">
        <is>
          <t>Headroom
(255-max)</t>
        </is>
      </c>
      <c r="I5" s="77" t="inlineStr">
        <is>
          <t>REFINE_FLOOR
needed</t>
        </is>
      </c>
      <c r="J5" s="77" t="inlineStr">
        <is>
          <t>Usable?</t>
        </is>
      </c>
      <c r="K5" s="77" t="inlineStr">
        <is>
          <t>Notes</t>
        </is>
      </c>
    </row>
    <row r="6">
      <c r="A6" s="78" t="inlineStr">
        <is>
          <t>as-is 2026-09-03</t>
        </is>
      </c>
      <c r="B6" s="85" t="n">
        <v>100</v>
      </c>
      <c r="C6" s="74" t="n">
        <v>85</v>
      </c>
      <c r="D6" s="72" t="n">
        <v>3.6</v>
      </c>
      <c r="E6" s="74" t="n">
        <v>0.5</v>
      </c>
      <c r="F6" s="74" t="n">
        <v>4</v>
      </c>
      <c r="G6" s="74" t="n">
        <v>1</v>
      </c>
      <c r="H6" s="85">
        <f>IF(F6="","",255-F6)</f>
        <v/>
      </c>
      <c r="I6" s="85">
        <f>IF(OR(D6="",E6=""),"",D6+3*E6)</f>
        <v/>
      </c>
      <c r="J6" s="80">
        <f>IF(F6="","",IF(F6&lt;40,"ok",IF(F6&lt;80,"marginal","FLOODED")))</f>
        <v/>
      </c>
      <c r="K6" s="81" t="inlineStr">
        <is>
          <t>flat with exposure - this is the sensor black level, not light</t>
        </is>
      </c>
    </row>
    <row r="7">
      <c r="A7" s="78" t="inlineStr">
        <is>
          <t>as-is 2026-09-03</t>
        </is>
      </c>
      <c r="B7" s="85" t="n">
        <v>500</v>
      </c>
      <c r="C7" s="74" t="n">
        <v>493</v>
      </c>
      <c r="D7" s="72" t="n">
        <v>3.6</v>
      </c>
      <c r="E7" s="74" t="n">
        <v>0.5</v>
      </c>
      <c r="F7" s="74" t="n">
        <v>4</v>
      </c>
      <c r="G7" s="74" t="n">
        <v>1</v>
      </c>
      <c r="H7" s="85">
        <f>IF(F7="","",255-F7)</f>
        <v/>
      </c>
      <c r="I7" s="85">
        <f>IF(OR(D7="",E7=""),"",D7+3*E7)</f>
        <v/>
      </c>
      <c r="J7" s="80">
        <f>IF(F7="","",IF(F7&lt;40,"ok",IF(F7&lt;80,"marginal","FLOODED")))</f>
        <v/>
      </c>
      <c r="K7" s="81" t="inlineStr"/>
    </row>
    <row r="8">
      <c r="A8" s="78" t="inlineStr">
        <is>
          <t>as-is 2026-09-03</t>
        </is>
      </c>
      <c r="B8" s="85" t="n">
        <v>1000</v>
      </c>
      <c r="C8" s="74" t="n">
        <v>986</v>
      </c>
      <c r="D8" s="72" t="n">
        <v>3.6</v>
      </c>
      <c r="E8" s="74" t="n">
        <v>0.5</v>
      </c>
      <c r="F8" s="74" t="n">
        <v>4</v>
      </c>
      <c r="G8" s="74" t="n">
        <v>2</v>
      </c>
      <c r="H8" s="85">
        <f>IF(F8="","",255-F8)</f>
        <v/>
      </c>
      <c r="I8" s="85">
        <f>IF(OR(D8="",E8=""),"",D8+3*E8)</f>
        <v/>
      </c>
      <c r="J8" s="80">
        <f>IF(F8="","",IF(F8&lt;40,"ok",IF(F8&lt;80,"marginal","FLOODED")))</f>
        <v/>
      </c>
      <c r="K8" s="81" t="inlineStr"/>
    </row>
    <row r="9">
      <c r="A9" s="78" t="inlineStr">
        <is>
          <t>as-is 2026-09-03</t>
        </is>
      </c>
      <c r="B9" s="85" t="n">
        <v>2000</v>
      </c>
      <c r="C9" s="74" t="n">
        <v>1994</v>
      </c>
      <c r="D9" s="72" t="n">
        <v>3.6</v>
      </c>
      <c r="E9" s="74" t="n">
        <v>0.5</v>
      </c>
      <c r="F9" s="74" t="n">
        <v>4</v>
      </c>
      <c r="G9" s="74" t="n">
        <v>1</v>
      </c>
      <c r="H9" s="85">
        <f>IF(F9="","",255-F9)</f>
        <v/>
      </c>
      <c r="I9" s="85">
        <f>IF(OR(D9="",E9=""),"",D9+3*E9)</f>
        <v/>
      </c>
      <c r="J9" s="80">
        <f>IF(F9="","",IF(F9&lt;40,"ok",IF(F9&lt;80,"marginal","FLOODED")))</f>
        <v/>
      </c>
      <c r="K9" s="81" t="inlineStr"/>
    </row>
    <row r="10">
      <c r="A10" s="78" t="inlineStr">
        <is>
          <t>as-is 2026-09-03</t>
        </is>
      </c>
      <c r="B10" s="85" t="n">
        <v>5000</v>
      </c>
      <c r="C10" s="74" t="n">
        <v>4997</v>
      </c>
      <c r="D10" s="72" t="n">
        <v>3.5</v>
      </c>
      <c r="E10" s="74" t="n">
        <v>0.5</v>
      </c>
      <c r="F10" s="74" t="n">
        <v>4</v>
      </c>
      <c r="G10" s="74" t="n">
        <v>2</v>
      </c>
      <c r="H10" s="85">
        <f>IF(F10="","",255-F10)</f>
        <v/>
      </c>
      <c r="I10" s="85">
        <f>IF(OR(D10="",E10=""),"",D10+3*E10)</f>
        <v/>
      </c>
      <c r="J10" s="80">
        <f>IF(F10="","",IF(F10&lt;40,"ok",IF(F10&lt;80,"marginal","FLOODED")))</f>
        <v/>
      </c>
      <c r="K10" s="81" t="inlineStr"/>
    </row>
    <row r="11">
      <c r="A11" s="78" t="inlineStr">
        <is>
          <t>as-is 2026-09-03</t>
        </is>
      </c>
      <c r="B11" s="85" t="n">
        <v>10000</v>
      </c>
      <c r="C11" s="74" t="n">
        <v>9995</v>
      </c>
      <c r="D11" s="72" t="n">
        <v>3.5</v>
      </c>
      <c r="E11" s="74" t="n">
        <v>0.5</v>
      </c>
      <c r="F11" s="74" t="n">
        <v>4</v>
      </c>
      <c r="G11" s="74" t="n">
        <v>2</v>
      </c>
      <c r="H11" s="85">
        <f>IF(F11="","",255-F11)</f>
        <v/>
      </c>
      <c r="I11" s="85">
        <f>IF(OR(D11="",E11=""),"",D11+3*E11)</f>
        <v/>
      </c>
      <c r="J11" s="80">
        <f>IF(F11="","",IF(F11&lt;40,"ok",IF(F11&lt;80,"marginal","FLOODED")))</f>
        <v/>
      </c>
      <c r="K11" s="81" t="inlineStr"/>
    </row>
    <row r="12">
      <c r="A12" s="78" t="inlineStr">
        <is>
          <t>as-is 2026-09-03</t>
        </is>
      </c>
      <c r="B12" s="85" t="n">
        <v>20000</v>
      </c>
      <c r="C12" s="74" t="n">
        <v>19991</v>
      </c>
      <c r="D12" s="72" t="n">
        <v>3.5</v>
      </c>
      <c r="E12" s="74" t="n">
        <v>0.5</v>
      </c>
      <c r="F12" s="74" t="n">
        <v>4</v>
      </c>
      <c r="G12" s="74" t="n">
        <v>2</v>
      </c>
      <c r="H12" s="85">
        <f>IF(F12="","",255-F12)</f>
        <v/>
      </c>
      <c r="I12" s="85">
        <f>IF(OR(D12="",E12=""),"",D12+3*E12)</f>
        <v/>
      </c>
      <c r="J12" s="80">
        <f>IF(F12="","",IF(F12&lt;40,"ok",IF(F12&lt;80,"marginal","FLOODED")))</f>
        <v/>
      </c>
      <c r="K12" s="81" t="inlineStr"/>
    </row>
    <row r="13">
      <c r="A13" s="78" t="inlineStr">
        <is>
          <t>as-is 2026-09-03</t>
        </is>
      </c>
      <c r="B13" s="85" t="n">
        <v>30000</v>
      </c>
      <c r="C13" s="74" t="n">
        <v>29987</v>
      </c>
      <c r="D13" s="72" t="n">
        <v>3.5</v>
      </c>
      <c r="E13" s="74" t="n">
        <v>0.5</v>
      </c>
      <c r="F13" s="74" t="n">
        <v>4</v>
      </c>
      <c r="G13" s="74" t="n">
        <v>2</v>
      </c>
      <c r="H13" s="85">
        <f>IF(F13="","",255-F13)</f>
        <v/>
      </c>
      <c r="I13" s="85">
        <f>IF(OR(D13="",E13=""),"",D13+3*E13)</f>
        <v/>
      </c>
      <c r="J13" s="80">
        <f>IF(F13="","",IF(F13&lt;40,"ok",IF(F13&lt;80,"marginal","FLOODED")))</f>
        <v/>
      </c>
      <c r="K13" s="81" t="inlineStr"/>
    </row>
    <row r="14">
      <c r="A14" s="93" t="inlineStr">
        <is>
          <t>Repeat the same ladder for each condition you can create: blinds closed, lights off, at night, and with a narrowband 850 nm filter if you get one. Copy rows and change the Condition label.</t>
        </is>
      </c>
    </row>
    <row r="15">
      <c r="A15" s="119" t="inlineStr">
        <is>
          <t>RESULT: background does not scale with exposure AT ALL over 300x (85 us to 30 ms): mean 3.5-3.6, SD 0.5, max 4, uniformity 1-2 counts. That is the sensor's black-level pedestal, not ambient light - there is effectively NO ambient IR reaching the sensor in these conditions. Long-exposure strobing (Test E regime B) is fully available, and F2/F3 below are unnecessary: there is no background to threshold away and none to add shot noise. RE-RUN this ladder under daylight before trusting it for a daytime session.</t>
        </is>
      </c>
    </row>
    <row r="16">
      <c r="A16" s="76" t="inlineStr">
        <is>
          <t>F2 - DOES RAISING THRESH_LO RESCUE IT?   (marker lit, at the longest exposure F1 allows)</t>
        </is>
      </c>
    </row>
    <row r="17" ht="32" customHeight="1">
      <c r="A17" s="77" t="inlineStr">
        <is>
          <t>THRESH_LO</t>
        </is>
      </c>
      <c r="B17" s="77" t="inlineStr">
        <is>
          <t>REFINE_FLOOR</t>
        </is>
      </c>
      <c r="C17" s="77" t="inlineStr">
        <is>
          <t>Exposure
(us)</t>
        </is>
      </c>
      <c r="D17" s="77" t="inlineStr">
        <is>
          <t>Peak</t>
        </is>
      </c>
      <c r="E17" s="77" t="inlineStr">
        <is>
          <t>bg max</t>
        </is>
      </c>
      <c r="F17" s="77" t="inlineStr">
        <is>
          <t>blobs</t>
        </is>
      </c>
      <c r="G17" s="77" t="inlineStr">
        <is>
          <t>Sensor area
(px)</t>
        </is>
      </c>
      <c r="H17" s="77" t="inlineStr">
        <is>
          <t>Fill</t>
        </is>
      </c>
      <c r="I17" s="77" t="inlineStr">
        <is>
          <t>sigma_u
(px)</t>
        </is>
      </c>
      <c r="J17" s="77" t="inlineStr">
        <is>
          <t>sigma_v
(px)</t>
        </is>
      </c>
      <c r="K17" s="77" t="inlineStr">
        <is>
          <t>sigma_RMS
(px)</t>
        </is>
      </c>
      <c r="L17" s="77" t="inlineStr">
        <is>
          <t>vs low-bg sigma</t>
        </is>
      </c>
      <c r="M17" s="77" t="inlineStr">
        <is>
          <t>Notes</t>
        </is>
      </c>
    </row>
    <row r="18">
      <c r="A18" s="85" t="n">
        <v>80</v>
      </c>
      <c r="B18" s="74" t="n"/>
      <c r="C18" s="74" t="n"/>
      <c r="D18" s="74" t="n"/>
      <c r="E18" s="74" t="n"/>
      <c r="F18" s="74" t="n"/>
      <c r="G18" s="74" t="n"/>
      <c r="H18" s="79" t="n"/>
      <c r="I18" s="83" t="n"/>
      <c r="J18" s="83" t="n"/>
      <c r="K18" s="84">
        <f>IF(OR(I18="",J18=""),"",SQRT(0.5*(I18^2+J18^2)))</f>
        <v/>
      </c>
      <c r="L18" s="75">
        <f>IF(OR(K18="",$K$25="",$K$25=0),"",K18/$K$25)</f>
        <v/>
      </c>
      <c r="M18" s="81" t="n"/>
    </row>
    <row r="19">
      <c r="A19" s="85" t="n">
        <v>100</v>
      </c>
      <c r="B19" s="74" t="n"/>
      <c r="C19" s="74" t="n"/>
      <c r="D19" s="74" t="n"/>
      <c r="E19" s="74" t="n"/>
      <c r="F19" s="74" t="n"/>
      <c r="G19" s="74" t="n"/>
      <c r="H19" s="79" t="n"/>
      <c r="I19" s="83" t="n"/>
      <c r="J19" s="83" t="n"/>
      <c r="K19" s="84">
        <f>IF(OR(I19="",J19=""),"",SQRT(0.5*(I19^2+J19^2)))</f>
        <v/>
      </c>
      <c r="L19" s="75">
        <f>IF(OR(K19="",$K$25="",$K$25=0),"",K19/$K$25)</f>
        <v/>
      </c>
      <c r="M19" s="81" t="n"/>
    </row>
    <row r="20">
      <c r="A20" s="85" t="n">
        <v>120</v>
      </c>
      <c r="B20" s="74" t="n"/>
      <c r="C20" s="74" t="n"/>
      <c r="D20" s="74" t="n"/>
      <c r="E20" s="74" t="n"/>
      <c r="F20" s="74" t="n"/>
      <c r="G20" s="74" t="n"/>
      <c r="H20" s="79" t="n"/>
      <c r="I20" s="83" t="n"/>
      <c r="J20" s="83" t="n"/>
      <c r="K20" s="84">
        <f>IF(OR(I20="",J20=""),"",SQRT(0.5*(I20^2+J20^2)))</f>
        <v/>
      </c>
      <c r="L20" s="75">
        <f>IF(OR(K20="",$K$25="",$K$25=0),"",K20/$K$25)</f>
        <v/>
      </c>
      <c r="M20" s="81" t="n"/>
    </row>
    <row r="21">
      <c r="A21" s="85" t="n">
        <v>150</v>
      </c>
      <c r="B21" s="74" t="n"/>
      <c r="C21" s="74" t="n"/>
      <c r="D21" s="74" t="n"/>
      <c r="E21" s="74" t="n"/>
      <c r="F21" s="74" t="n"/>
      <c r="G21" s="74" t="n"/>
      <c r="H21" s="79" t="n"/>
      <c r="I21" s="83" t="n"/>
      <c r="J21" s="83" t="n"/>
      <c r="K21" s="84">
        <f>IF(OR(I21="",J21=""),"",SQRT(0.5*(I21^2+J21^2)))</f>
        <v/>
      </c>
      <c r="L21" s="75">
        <f>IF(OR(K21="",$K$25="",$K$25=0),"",K21/$K$25)</f>
        <v/>
      </c>
      <c r="M21" s="81" t="n"/>
    </row>
    <row r="22">
      <c r="A22" s="85" t="n">
        <v>180</v>
      </c>
      <c r="B22" s="74" t="n"/>
      <c r="C22" s="74" t="n"/>
      <c r="D22" s="74" t="n"/>
      <c r="E22" s="74" t="n"/>
      <c r="F22" s="74" t="n"/>
      <c r="G22" s="74" t="n"/>
      <c r="H22" s="79" t="n"/>
      <c r="I22" s="83" t="n"/>
      <c r="J22" s="83" t="n"/>
      <c r="K22" s="84">
        <f>IF(OR(I22="",J22=""),"",SQRT(0.5*(I22^2+J22^2)))</f>
        <v/>
      </c>
      <c r="L22" s="75">
        <f>IF(OR(K22="",$K$25="",$K$25=0),"",K22/$K$25)</f>
        <v/>
      </c>
      <c r="M22" s="81" t="n"/>
    </row>
    <row r="24">
      <c r="A24" s="76" t="inlineStr">
        <is>
          <t>F3 - THE DECISIVE TEST: same peak, different background</t>
        </is>
      </c>
    </row>
    <row r="25">
      <c r="A25" s="66" t="inlineStr">
        <is>
          <t>Target BOTH rows to peak 200-230 so the signal is identical, and change only the background. If sigma is the same, the background is only an offset and a higher threshold really does rescue you. If sigma degrades, you are paying in shot noise and no threshold can give that back.</t>
        </is>
      </c>
    </row>
    <row r="26" ht="32" customHeight="1">
      <c r="A26" s="77" t="inlineStr">
        <is>
          <t>Case</t>
        </is>
      </c>
      <c r="B26" s="77" t="inlineStr">
        <is>
          <t>Exposure
(us)</t>
        </is>
      </c>
      <c r="C26" s="77" t="inlineStr">
        <is>
          <t>bg mean</t>
        </is>
      </c>
      <c r="D26" s="77" t="inlineStr">
        <is>
          <t>bg max</t>
        </is>
      </c>
      <c r="E26" s="77" t="inlineStr">
        <is>
          <t>THRESH_LO</t>
        </is>
      </c>
      <c r="F26" s="77" t="inlineStr">
        <is>
          <t>REFINE_FLOOR</t>
        </is>
      </c>
      <c r="G26" s="77" t="inlineStr">
        <is>
          <t>Peak</t>
        </is>
      </c>
      <c r="H26" s="77" t="inlineStr">
        <is>
          <t>Sensor area
(px)</t>
        </is>
      </c>
      <c r="I26" s="77" t="inlineStr">
        <is>
          <t>Fill</t>
        </is>
      </c>
      <c r="J26" s="77" t="inlineStr">
        <is>
          <t>sigma_u
(px)</t>
        </is>
      </c>
      <c r="K26" s="77" t="inlineStr">
        <is>
          <t>sigma_v
(px)</t>
        </is>
      </c>
      <c r="L26" s="77" t="inlineStr">
        <is>
          <t>sigma_RMS
(px)</t>
        </is>
      </c>
      <c r="M26" s="77" t="inlineStr">
        <is>
          <t>Notes</t>
        </is>
      </c>
    </row>
    <row r="27">
      <c r="A27" s="82" t="inlineStr">
        <is>
          <t>A: short exposure, low background</t>
        </is>
      </c>
      <c r="B27" s="74" t="n"/>
      <c r="C27" s="74" t="n"/>
      <c r="D27" s="74" t="n"/>
      <c r="E27" s="74" t="n"/>
      <c r="F27" s="74" t="n"/>
      <c r="G27" s="74" t="n"/>
      <c r="H27" s="74" t="n"/>
      <c r="I27" s="79" t="n"/>
      <c r="J27" s="83" t="n"/>
      <c r="K27" s="83" t="n"/>
      <c r="L27" s="84">
        <f>IF(OR(J27="",K27=""),"",SQRT(0.5*(J27^2+K27^2)))</f>
        <v/>
      </c>
      <c r="M27" s="81" t="n"/>
    </row>
    <row r="28">
      <c r="A28" s="82" t="inlineStr">
        <is>
          <t>B: long exposure, high background</t>
        </is>
      </c>
      <c r="B28" s="74" t="n"/>
      <c r="C28" s="74" t="n"/>
      <c r="D28" s="74" t="n"/>
      <c r="E28" s="74" t="n"/>
      <c r="F28" s="74" t="n"/>
      <c r="G28" s="74" t="n"/>
      <c r="H28" s="74" t="n"/>
      <c r="I28" s="79" t="n"/>
      <c r="J28" s="83" t="n"/>
      <c r="K28" s="83" t="n"/>
      <c r="L28" s="84">
        <f>IF(OR(J28="",K28=""),"",SQRT(0.5*(J28^2+K28^2)))</f>
        <v/>
      </c>
      <c r="M28" s="81" t="n"/>
    </row>
    <row r="29">
      <c r="A29" s="94" t="inlineStr">
        <is>
          <t>sigma penalty (B/A)</t>
        </is>
      </c>
      <c r="B29" s="95">
        <f>IF(OR(L27="",L28="",L27=0),"",L28/L27)</f>
        <v/>
      </c>
      <c r="C29" s="93" t="inlineStr">
        <is>
          <t>1.00 = background is only an offset. Above ~1.15 = you are paying in noise.</t>
        </is>
      </c>
    </row>
    <row r="32">
      <c r="A32" s="76" t="inlineStr">
        <is>
          <t>HOW TO READ THIS</t>
        </is>
      </c>
    </row>
    <row r="33">
      <c r="A33" s="91" t="inlineStr">
        <is>
          <t>A higher THRESH_LO removes the background OFFSET from detection. It does not remove the background's SHOT NOISE, which lands on the marker's own pixels and degrades the centroid regardless of where the threshold sits. F3 measures exactly that, and it is the number that settles the question.</t>
        </is>
      </c>
    </row>
    <row r="34">
      <c r="A34" s="91" t="inlineStr">
        <is>
          <t>A pedestal also eats DYNAMIC RANGE. Peak clips at 255, so a background of 120 leaves only 135 counts of signal instead of 255. The protocol targets peak 200-230 with Sat px = 0, and a big pedestal squeezes that band until you have to dim the LED - which costs SNR, the opposite of the intent.</t>
        </is>
      </c>
    </row>
    <row r="35">
      <c r="A35" s="91" t="inlineStr">
        <is>
          <t>REFINE_FLOOR must move with the background, not just THRESH_LO. It is subtracted before intensity weighting, so if it sits below the background the pedestal is weighted into the centroid and drags it toward the box centre. Keep it at or above background mean + 3 SD - column I of F1 computes that for you.</t>
        </is>
      </c>
    </row>
    <row r="36">
      <c r="A36" s="91" t="inlineStr">
        <is>
          <t>Watch UNIFORMITY, not just the mean. The tracker uses ONE global threshold. A window, a reflective surface or a sunlit patch makes the background vary across the frame, and then no single threshold both finds the marker in the bright region and rejects false blobs in the dark one. If max-min is large, the threshold approach is in trouble however high you set it.</t>
        </is>
      </c>
    </row>
    <row r="37">
      <c r="A37" s="91" t="inlineStr">
        <is>
          <t>A visible-light-cut filter is NOT a narrowband filter. It blocks visible and passes essentially ALL infrared, and daylight is extremely strong from 700-1100 nm - so it does not protect you from a sunlit room. All four of your LEDs are 850 nm parts, so an 850 nm BANDPASS filter (typically +/-10-20 nm) would reject most solar IR while passing the markers. That is the single biggest ambient win available and it is what commercial mocap uses.</t>
        </is>
      </c>
    </row>
    <row r="38">
      <c r="A38" s="91" t="inlineStr">
        <is>
          <t>Order of remedies, cheapest first: calibrate at night or black out the room; fit an 850 nm bandpass; shorten the exposure and accept fewer all-cameras-open flashes (Test E regime B probability); only then raise THRESH_LO.</t>
        </is>
      </c>
    </row>
    <row r="40">
      <c r="A40" s="76" t="inlineStr">
        <is>
          <t>F1b - DAYLIGHT, 2026-09-04   (the worst case, and the one that governs)</t>
        </is>
      </c>
    </row>
    <row r="41" ht="30" customHeight="1">
      <c r="A41" s="77" t="inlineStr">
        <is>
          <t>Condition</t>
        </is>
      </c>
      <c r="B41" s="77" t="inlineStr">
        <is>
          <t>Exposure req (us)</t>
        </is>
      </c>
      <c r="C41" s="77" t="inlineStr">
        <is>
          <t>Exposure act (us)</t>
        </is>
      </c>
      <c r="D41" s="77" t="inlineStr">
        <is>
          <t>bg mean</t>
        </is>
      </c>
      <c r="E41" s="77" t="inlineStr">
        <is>
          <t>bg SD</t>
        </is>
      </c>
      <c r="F41" s="77" t="inlineStr">
        <is>
          <t>bg max</t>
        </is>
      </c>
      <c r="G41" s="77" t="inlineStr">
        <is>
          <t>Uniformity (max-min)</t>
        </is>
      </c>
      <c r="H41" s="77" t="inlineStr">
        <is>
          <t>Headroom (255-max)</t>
        </is>
      </c>
      <c r="I41" s="77" t="inlineStr">
        <is>
          <t>REFINE_FLOOR needed</t>
        </is>
      </c>
      <c r="J41" s="77" t="inlineStr">
        <is>
          <t>Usable?</t>
        </is>
      </c>
      <c r="K41" s="77" t="inlineStr">
        <is>
          <t>Notes</t>
        </is>
      </c>
    </row>
    <row r="42">
      <c r="A42" s="80" t="inlineStr">
        <is>
          <t>daylight</t>
        </is>
      </c>
      <c r="B42" s="80" t="n">
        <v>100</v>
      </c>
      <c r="C42" s="80" t="n">
        <v>85</v>
      </c>
      <c r="D42" s="80" t="n">
        <v>4.7</v>
      </c>
      <c r="E42" s="80" t="n">
        <v>4.3</v>
      </c>
      <c r="F42" s="80" t="n">
        <v>58</v>
      </c>
      <c r="G42" s="80" t="n">
        <v>55</v>
      </c>
      <c r="H42" s="80" t="n">
        <v>197</v>
      </c>
      <c r="I42" s="80" t="n">
        <v>18</v>
      </c>
      <c r="J42" s="80" t="inlineStr">
        <is>
          <t>marginal</t>
        </is>
      </c>
    </row>
    <row r="43">
      <c r="A43" s="80" t="inlineStr">
        <is>
          <t>daylight</t>
        </is>
      </c>
      <c r="B43" s="80" t="n">
        <v>500</v>
      </c>
      <c r="C43" s="80" t="n">
        <v>493</v>
      </c>
      <c r="D43" s="80" t="n">
        <v>17.7</v>
      </c>
      <c r="E43" s="80" t="n">
        <v>23.7</v>
      </c>
      <c r="F43" s="80" t="n">
        <v>209</v>
      </c>
      <c r="G43" s="80" t="n">
        <v>206</v>
      </c>
      <c r="H43" s="80" t="n">
        <v>46</v>
      </c>
      <c r="I43" s="80" t="n">
        <v>89</v>
      </c>
      <c r="J43" s="80" t="inlineStr">
        <is>
          <t>FLOODED</t>
        </is>
      </c>
    </row>
    <row r="44">
      <c r="A44" s="80" t="inlineStr">
        <is>
          <t>daylight</t>
        </is>
      </c>
      <c r="B44" s="80" t="n">
        <v>1000</v>
      </c>
      <c r="C44" s="80" t="n">
        <v>986</v>
      </c>
      <c r="D44" s="80" t="n">
        <v>34.7</v>
      </c>
      <c r="E44" s="80" t="n">
        <v>37.7</v>
      </c>
      <c r="F44" s="80" t="n">
        <v>255</v>
      </c>
      <c r="G44" s="80" t="n">
        <v>252</v>
      </c>
      <c r="H44" s="80" t="n">
        <v>0</v>
      </c>
      <c r="I44" s="80" t="n">
        <v>148</v>
      </c>
      <c r="J44" s="80" t="inlineStr">
        <is>
          <t>FLOODED</t>
        </is>
      </c>
    </row>
    <row r="45">
      <c r="A45" s="80" t="inlineStr">
        <is>
          <t>daylight</t>
        </is>
      </c>
      <c r="B45" s="80" t="n">
        <v>2000</v>
      </c>
      <c r="C45" s="80" t="n">
        <v>1994</v>
      </c>
      <c r="D45" s="80" t="n">
        <v>62.9</v>
      </c>
      <c r="E45" s="80" t="n">
        <v>51.5</v>
      </c>
      <c r="F45" s="80" t="n">
        <v>255</v>
      </c>
      <c r="G45" s="80" t="n">
        <v>251</v>
      </c>
      <c r="H45" s="80" t="n">
        <v>0</v>
      </c>
      <c r="I45" s="80" t="n">
        <v>217</v>
      </c>
      <c r="J45" s="80" t="inlineStr">
        <is>
          <t>FLOODED</t>
        </is>
      </c>
    </row>
    <row r="46">
      <c r="A46" s="80" t="inlineStr">
        <is>
          <t>daylight</t>
        </is>
      </c>
      <c r="B46" s="80" t="n">
        <v>5000</v>
      </c>
      <c r="C46" s="80" t="n">
        <v>4997</v>
      </c>
      <c r="D46" s="80" t="n">
        <v>122.2</v>
      </c>
      <c r="E46" s="80" t="n">
        <v>57</v>
      </c>
      <c r="F46" s="80" t="n">
        <v>255</v>
      </c>
      <c r="G46" s="80" t="n">
        <v>245</v>
      </c>
      <c r="H46" s="80" t="n">
        <v>0</v>
      </c>
      <c r="I46" s="80" t="n">
        <v>293</v>
      </c>
      <c r="J46" s="80" t="inlineStr">
        <is>
          <t>FLOODED</t>
        </is>
      </c>
    </row>
    <row r="47">
      <c r="A47" s="80" t="inlineStr">
        <is>
          <t>daylight</t>
        </is>
      </c>
      <c r="B47" s="80" t="n">
        <v>10000</v>
      </c>
      <c r="C47" s="80" t="n">
        <v>9995</v>
      </c>
      <c r="D47" s="80" t="n">
        <v>178.6</v>
      </c>
      <c r="E47" s="80" t="n">
        <v>50.5</v>
      </c>
      <c r="F47" s="80" t="n">
        <v>255</v>
      </c>
      <c r="G47" s="80" t="n">
        <v>228</v>
      </c>
      <c r="H47" s="80" t="n">
        <v>0</v>
      </c>
      <c r="I47" s="80" t="n">
        <v>330</v>
      </c>
      <c r="J47" s="80" t="inlineStr">
        <is>
          <t>FLOODED</t>
        </is>
      </c>
    </row>
    <row r="48">
      <c r="A48" s="80" t="inlineStr">
        <is>
          <t>daylight</t>
        </is>
      </c>
      <c r="B48" s="80" t="n">
        <v>20000</v>
      </c>
      <c r="C48" s="80" t="n">
        <v>19991</v>
      </c>
      <c r="D48" s="80" t="n">
        <v>232.3</v>
      </c>
      <c r="E48" s="80" t="n">
        <v>41.9</v>
      </c>
      <c r="F48" s="80" t="n">
        <v>255</v>
      </c>
      <c r="G48" s="80" t="n">
        <v>199</v>
      </c>
      <c r="H48" s="80" t="n">
        <v>0</v>
      </c>
      <c r="I48" s="80" t="n">
        <v>358</v>
      </c>
      <c r="J48" s="80" t="inlineStr">
        <is>
          <t>FLOODED</t>
        </is>
      </c>
    </row>
    <row r="49">
      <c r="A49" s="80" t="inlineStr">
        <is>
          <t>daylight</t>
        </is>
      </c>
      <c r="B49" s="80" t="n">
        <v>30000</v>
      </c>
      <c r="C49" s="80" t="n">
        <v>29987</v>
      </c>
      <c r="D49" s="80" t="n">
        <v>244.4</v>
      </c>
      <c r="E49" s="80" t="n">
        <v>32.1</v>
      </c>
      <c r="F49" s="80" t="n">
        <v>255</v>
      </c>
      <c r="G49" s="80" t="n">
        <v>171</v>
      </c>
      <c r="H49" s="80" t="n">
        <v>0</v>
      </c>
      <c r="I49" s="80" t="n">
        <v>341</v>
      </c>
      <c r="J49" s="80" t="inlineStr">
        <is>
          <t>FLOODED</t>
        </is>
      </c>
    </row>
    <row r="51">
      <c r="A51" s="122" t="inlineStr">
        <is>
          <t>DAYLIGHT REVERSES THE NIGHT RESULT. Background now scales with exposure exactly as ambient light should. At 493 us the frame max is 209; by 986 us it clips. Usable ceiling is ~120 us frame-wide (85 us gives max 58; 80/58 x 85 = 117).</t>
        </is>
      </c>
    </row>
    <row r="52">
      <c r="A52" s="91" t="inlineStr">
        <is>
          <t>It is HIGHLY non-uniform and one-sided. An 8x6 map at 965 us: left half max 133-255, right half max 14-42. There is a window or sunlit surface on the left. Right-hand columns tolerate 2000-5500 us; left-hand ones 302 us.</t>
        </is>
      </c>
    </row>
    <row r="53">
      <c r="A53" s="91" t="inlineStr">
        <is>
          <t>Consequences for today: with the marker imaged in the RIGHT (dark) half, exposures to ~2000 us are usable. That covers Vishay (251-323 us) and Kingbright (1186 us) - which are the priority 1 parts anyway. It does NOT cover Everlight (2588-2983) or XL (5985-6057), so those cannot be measured in daylight without blocking the source.</t>
        </is>
      </c>
    </row>
    <row r="54">
      <c r="A54" s="122" t="inlineStr">
        <is>
          <t>REVERSAL OF EARLIER ADVICE: on the night data I said an 850 nm bandpass filter was unnecessary. Daylight says otherwise. A VL-cut filter passes ~700-1100 nm (~400 nm of solar IR); an 850 +/-10 nm bandpass passes ~20 nm, so roughly 20x less background while passing the LEDs nearly untouched. That would restore long exposures and with them the Test E regime B strobe scheme.</t>
        </is>
      </c>
    </row>
    <row r="55">
      <c r="A55" s="91" t="inlineStr">
        <is>
          <t>Order of remedies: block the window / blackout the room (free, and restores the night result exactly); fit an 850 nm bandpass (buys daytime operation); aim the working volume into the dark half (partial, and no use once markers move through the whole volume).</t>
        </is>
      </c>
    </row>
    <row r="56">
      <c r="A56" s="91" t="inlineStr">
        <is>
          <t>For the real rig this is a system requirement, not a nicety: markers will move through the WHOLE volume, so a dark corner of the frame is not a solution. Either the room gets blacked out for capture, or the cameras get bandpass filters.</t>
        </is>
      </c>
    </row>
    <row r="58">
      <c r="A58" s="76" t="inlineStr">
        <is>
          <t>F1c - MESH SHADES DOWN, 2026-09-04   (thin mesh, room visibly dimmed)</t>
        </is>
      </c>
    </row>
    <row r="59">
      <c r="A59" s="80" t="inlineStr">
        <is>
          <t>mesh shades</t>
        </is>
      </c>
      <c r="B59" s="80" t="n">
        <v>100</v>
      </c>
      <c r="C59" s="80" t="n">
        <v>85</v>
      </c>
      <c r="D59" s="80" t="n">
        <v>3.4</v>
      </c>
      <c r="E59" s="80" t="n">
        <v>0.5</v>
      </c>
      <c r="F59" s="80" t="n">
        <v>10</v>
      </c>
      <c r="G59" s="80" t="n">
        <v>7</v>
      </c>
      <c r="H59" s="80" t="n">
        <v>245</v>
      </c>
      <c r="I59" s="80" t="n">
        <v>5</v>
      </c>
      <c r="J59" s="80" t="inlineStr">
        <is>
          <t>ok</t>
        </is>
      </c>
    </row>
    <row r="60">
      <c r="A60" s="80" t="inlineStr">
        <is>
          <t>mesh shades</t>
        </is>
      </c>
      <c r="B60" s="80" t="n">
        <v>500</v>
      </c>
      <c r="C60" s="80" t="n">
        <v>493</v>
      </c>
      <c r="D60" s="80" t="n">
        <v>8.5</v>
      </c>
      <c r="E60" s="80" t="n">
        <v>4.2</v>
      </c>
      <c r="F60" s="80" t="n">
        <v>57</v>
      </c>
      <c r="G60" s="80" t="n">
        <v>54</v>
      </c>
      <c r="H60" s="80" t="n">
        <v>198</v>
      </c>
      <c r="I60" s="80" t="n">
        <v>21</v>
      </c>
      <c r="J60" s="80" t="inlineStr">
        <is>
          <t>marginal</t>
        </is>
      </c>
    </row>
    <row r="61">
      <c r="A61" s="80" t="inlineStr">
        <is>
          <t>mesh shades</t>
        </is>
      </c>
      <c r="B61" s="80" t="n">
        <v>1000</v>
      </c>
      <c r="C61" s="80" t="n">
        <v>986</v>
      </c>
      <c r="D61" s="80" t="n">
        <v>16.2</v>
      </c>
      <c r="E61" s="80" t="n">
        <v>8.5</v>
      </c>
      <c r="F61" s="80" t="n">
        <v>101</v>
      </c>
      <c r="G61" s="80" t="n">
        <v>98</v>
      </c>
      <c r="H61" s="80" t="n">
        <v>154</v>
      </c>
      <c r="I61" s="80" t="n">
        <v>42</v>
      </c>
      <c r="J61" s="80" t="inlineStr">
        <is>
          <t>FLOODED</t>
        </is>
      </c>
    </row>
    <row r="62">
      <c r="A62" s="80" t="inlineStr">
        <is>
          <t>mesh shades</t>
        </is>
      </c>
      <c r="B62" s="80" t="n">
        <v>2000</v>
      </c>
      <c r="C62" s="80" t="n">
        <v>1994</v>
      </c>
      <c r="D62" s="80" t="n">
        <v>34.2</v>
      </c>
      <c r="E62" s="80" t="n">
        <v>15.8</v>
      </c>
      <c r="F62" s="80" t="n">
        <v>166</v>
      </c>
      <c r="G62" s="80" t="n">
        <v>162</v>
      </c>
      <c r="H62" s="80" t="n">
        <v>89</v>
      </c>
      <c r="I62" s="80" t="n">
        <v>82</v>
      </c>
      <c r="J62" s="80" t="inlineStr">
        <is>
          <t>FLOODED</t>
        </is>
      </c>
    </row>
    <row r="63">
      <c r="A63" s="80" t="inlineStr">
        <is>
          <t>mesh shades</t>
        </is>
      </c>
      <c r="B63" s="80" t="n">
        <v>5000</v>
      </c>
      <c r="C63" s="80" t="n">
        <v>4997</v>
      </c>
      <c r="D63" s="80" t="n">
        <v>82.2</v>
      </c>
      <c r="E63" s="80" t="n">
        <v>30.7</v>
      </c>
      <c r="F63" s="80" t="n">
        <v>255</v>
      </c>
      <c r="G63" s="80" t="n">
        <v>247</v>
      </c>
      <c r="H63" s="80" t="n">
        <v>0</v>
      </c>
      <c r="I63" s="80" t="n">
        <v>174</v>
      </c>
      <c r="J63" s="80" t="inlineStr">
        <is>
          <t>FLOODED</t>
        </is>
      </c>
    </row>
    <row r="64">
      <c r="A64" s="80" t="inlineStr">
        <is>
          <t>mesh shades</t>
        </is>
      </c>
      <c r="B64" s="80" t="n">
        <v>10000</v>
      </c>
      <c r="C64" s="80" t="n">
        <v>9995</v>
      </c>
      <c r="D64" s="80" t="n">
        <v>138.2</v>
      </c>
      <c r="E64" s="80" t="n">
        <v>41.4</v>
      </c>
      <c r="F64" s="80" t="n">
        <v>255</v>
      </c>
      <c r="G64" s="80" t="n">
        <v>232</v>
      </c>
      <c r="H64" s="80" t="n">
        <v>0</v>
      </c>
      <c r="I64" s="80" t="n">
        <v>262</v>
      </c>
      <c r="J64" s="80" t="inlineStr">
        <is>
          <t>FLOODED</t>
        </is>
      </c>
    </row>
    <row r="65">
      <c r="A65" s="80" t="inlineStr">
        <is>
          <t>mesh shades</t>
        </is>
      </c>
      <c r="B65" s="80" t="n">
        <v>20000</v>
      </c>
      <c r="C65" s="80" t="n">
        <v>19991</v>
      </c>
      <c r="D65" s="80" t="n">
        <v>202.5</v>
      </c>
      <c r="E65" s="80" t="n">
        <v>46.1</v>
      </c>
      <c r="F65" s="80" t="n">
        <v>255</v>
      </c>
      <c r="G65" s="80" t="n">
        <v>207</v>
      </c>
      <c r="H65" s="80" t="n">
        <v>0</v>
      </c>
      <c r="I65" s="80" t="n">
        <v>341</v>
      </c>
      <c r="J65" s="80" t="inlineStr">
        <is>
          <t>FLOODED</t>
        </is>
      </c>
    </row>
    <row r="66">
      <c r="A66" s="80" t="inlineStr">
        <is>
          <t>mesh shades</t>
        </is>
      </c>
      <c r="B66" s="80" t="n">
        <v>30000</v>
      </c>
      <c r="C66" s="80" t="n">
        <v>29987</v>
      </c>
      <c r="D66" s="80" t="n">
        <v>233.3</v>
      </c>
      <c r="E66" s="80" t="n">
        <v>41.7</v>
      </c>
      <c r="F66" s="80" t="n">
        <v>255</v>
      </c>
      <c r="G66" s="80" t="n">
        <v>182</v>
      </c>
      <c r="H66" s="80" t="n">
        <v>0</v>
      </c>
      <c r="I66" s="80" t="n">
        <v>358</v>
      </c>
      <c r="J66" s="80" t="inlineStr">
        <is>
          <t>FLOODED</t>
        </is>
      </c>
    </row>
    <row r="68">
      <c r="A68" s="122" t="inlineStr">
        <is>
          <t>THREE CONDITIONS, frame-wide max at 493 us: direct sun 209, mesh shades 57, night 4. The shades give ~2.5-6x, NOT the 20x+ that visible dimming suggests - thin mesh is far more transparent at 850 nm than to the eye. Confirms that a visibly dark shade is not an IR shade.</t>
        </is>
      </c>
    </row>
    <row r="69">
      <c r="A69" s="91" t="inlineStr">
        <is>
          <t>Frame-wide usable ceiling with shades is ~700 us (493 us gives max 57; 80/57 x 493). Away from the bright patch it is 2800-6400 us; the patch itself (now bottom-left) tolerates only ~772 us.</t>
        </is>
      </c>
    </row>
    <row r="70">
      <c r="A70" s="91" t="inlineStr">
        <is>
          <t>What is measurable with shades: Vishay (251-323 us) anywhere. Kingbright (1096-1186 us) away from the patch. Everlight (2588-2983 us) only in the darkest cells, marginal. XL (5985-6057 us) NOT measurable in daylight at all.</t>
        </is>
      </c>
    </row>
    <row r="71">
      <c r="A71" s="122" t="inlineStr">
        <is>
          <t>THRESH_LO INVERTS WITH AMBIENT. At night, background max 4 meant 80 was ~20x too high and could drop to 20-30 for better range. With shades at 986 us the background max is 101 - ABOVE 80 - so in daylight the threshold would have to RISE, not fall, or the bright patch generates false blobs. Choose THRESH_LO for the WORST ambient you will operate in, and run the C2 sweep under that condition, not at night.</t>
        </is>
      </c>
    </row>
    <row r="72">
      <c r="A72" s="91" t="inlineStr">
        <is>
          <t>This settles the filter question. Blackout or an 850 nm bandpass is a system requirement for daytime operation, not an optimisation. Mesh shades are not a substitute.</t>
        </is>
      </c>
    </row>
  </sheetData>
  <pageMargins left="0.75" right="0.75" top="1" bottom="1" header="0.5" footer="0.5"/>
</worksheet>
</file>

<file path=xl/worksheets/sheet9.xml><?xml version="1.0" encoding="utf-8"?>
<worksheet xmlns="http://schemas.openxmlformats.org/spreadsheetml/2006/main">
  <sheetPr>
    <tabColor rgb="FF1F3864"/>
    <outlinePr summaryBelow="1" summaryRight="1"/>
    <pageSetUpPr/>
  </sheetPr>
  <dimension ref="A1:T39"/>
  <sheetViews>
    <sheetView showGridLines="0" workbookViewId="0">
      <pane ySplit="7" topLeftCell="A8" activePane="bottomLeft" state="frozen"/>
      <selection pane="bottomLeft" activeCell="A1" sqref="A1"/>
    </sheetView>
  </sheetViews>
  <sheetFormatPr baseColWidth="8" defaultRowHeight="15"/>
  <cols>
    <col width="6" customWidth="1" min="1" max="1"/>
    <col width="12" customWidth="1" min="2" max="2"/>
    <col width="10" customWidth="1" min="3" max="3"/>
    <col width="8" customWidth="1" min="4" max="4"/>
    <col width="9" customWidth="1" min="5" max="5"/>
    <col width="10" customWidth="1" min="6" max="6"/>
    <col width="11" customWidth="1" min="7" max="7"/>
    <col width="8" customWidth="1" min="8" max="8"/>
    <col width="8" customWidth="1" min="9" max="9"/>
    <col width="12" customWidth="1" min="10" max="10"/>
    <col width="8" customWidth="1" min="11" max="11"/>
    <col width="8" customWidth="1" min="12" max="12"/>
    <col width="12" customWidth="1" min="13" max="13"/>
    <col width="8" customWidth="1" min="14" max="14"/>
    <col width="11" customWidth="1" min="15" max="15"/>
    <col width="11" customWidth="1" min="16" max="16"/>
    <col width="12" customWidth="1" min="17" max="17"/>
    <col width="11" customWidth="1" min="18" max="18"/>
    <col width="11" customWidth="1" min="19" max="19"/>
    <col width="34" customWidth="1" min="20" max="20"/>
  </cols>
  <sheetData>
    <row r="1">
      <c r="A1" s="65" t="inlineStr">
        <is>
          <t>TEST G - Diffuser geometry: diameter x wall thickness</t>
        </is>
      </c>
    </row>
    <row r="2">
      <c r="A2" s="66" t="inlineStr">
        <is>
          <t>Blue on yellow = fill in.  Grey = pulled live from A_Bench (the 0.2 mm rows - do NOT re-measure them here). At these wall thicknesses the cavity barely changes, so wall thickness and LED standoff are effectively decoupled: this is a clean scattering experiment.</t>
        </is>
      </c>
    </row>
    <row r="3">
      <c r="A3" s="66" t="inlineStr">
        <is>
          <t>Diffusers are WHITE (pigmented) resin - scattering is volumetric, so wall thickness sets optical depth. Caps are reused across all four LEDs, so LED-to-LED rows share the same physical cap; only the WALL ladder compares different objects. Every take re-seats the cap, which costs ~16% on sigma (measured). Reprint plan: 20 and 25 mm at 0.2 and 0.4 mm ONLY, 4.5 s cure (was 3.5), post-cured together, 2-3 replicate caps per condition - record the cap ID in Notes.</t>
        </is>
      </c>
    </row>
    <row r="4">
      <c r="A4" s="96" t="inlineStr">
        <is>
          <t>LED ring radius (mm)</t>
        </is>
      </c>
      <c r="B4" s="72" t="n">
        <v>3.5</v>
      </c>
      <c r="C4" s="97" t="inlineStr">
        <is>
          <t>centre of the board to each LED. Measured 2026-09-03</t>
        </is>
      </c>
    </row>
    <row r="5">
      <c r="A5" s="96" t="inlineStr">
        <is>
          <t>Wall grows</t>
        </is>
      </c>
      <c r="B5" s="78" t="inlineStr">
        <is>
          <t>inward</t>
        </is>
      </c>
      <c r="C5" s="97" t="inlineStr">
        <is>
          <t>'inward' = outer diameter fixed, cavity shrinks.  'outward' = cavity fixed, marker grows</t>
        </is>
      </c>
    </row>
    <row r="7" ht="34" customHeight="1">
      <c r="A7" s="77" t="inlineStr">
        <is>
          <t>Pri</t>
        </is>
      </c>
      <c r="B7" s="77" t="inlineStr">
        <is>
          <t>LED Type</t>
        </is>
      </c>
      <c r="C7" s="77" t="inlineStr">
        <is>
          <t>Diameter
(mm)</t>
        </is>
      </c>
      <c r="D7" s="77" t="inlineStr">
        <is>
          <t>Wall
(mm)</t>
        </is>
      </c>
      <c r="E7" s="77" t="inlineStr">
        <is>
          <t>Cavity
(mm)</t>
        </is>
      </c>
      <c r="F7" s="77" t="inlineStr">
        <is>
          <t>Standoff
(mm)</t>
        </is>
      </c>
      <c r="G7" s="77" t="inlineStr">
        <is>
          <t>Exposure
(us)</t>
        </is>
      </c>
      <c r="H7" s="77" t="inlineStr">
        <is>
          <t>Peak</t>
        </is>
      </c>
      <c r="I7" s="77" t="inlineStr">
        <is>
          <t>Sat px</t>
        </is>
      </c>
      <c r="J7" s="77" t="inlineStr">
        <is>
          <t>Sensor area
(px)</t>
        </is>
      </c>
      <c r="K7" s="77" t="inlineStr">
        <is>
          <t>blobs</t>
        </is>
      </c>
      <c r="L7" s="77" t="inlineStr">
        <is>
          <t>w/h</t>
        </is>
      </c>
      <c r="M7" s="77" t="inlineStr">
        <is>
          <t>Fill
(centre/rim)</t>
        </is>
      </c>
      <c r="N7" s="77" t="inlineStr">
        <is>
          <t>Blend
gate</t>
        </is>
      </c>
      <c r="O7" s="77" t="inlineStr">
        <is>
          <t>sigma_u
(px)</t>
        </is>
      </c>
      <c r="P7" s="77" t="inlineStr">
        <is>
          <t>sigma_v
(px)</t>
        </is>
      </c>
      <c r="Q7" s="77" t="inlineStr">
        <is>
          <t>sigma_RMS
(px)</t>
        </is>
      </c>
      <c r="R7" s="77" t="inlineStr">
        <is>
          <t>Exposure
vs 2 mm</t>
        </is>
      </c>
      <c r="S7" s="77" t="inlineStr">
        <is>
          <t>Fill
vs 2 mm</t>
        </is>
      </c>
      <c r="T7" s="77" t="inlineStr">
        <is>
          <t>Notes</t>
        </is>
      </c>
    </row>
    <row r="8">
      <c r="A8" s="98" t="inlineStr">
        <is>
          <t>done</t>
        </is>
      </c>
      <c r="B8" s="99" t="inlineStr">
        <is>
          <t>Vishay</t>
        </is>
      </c>
      <c r="C8" s="100" t="n">
        <v>20</v>
      </c>
      <c r="D8" s="101" t="n">
        <v>0.2</v>
      </c>
      <c r="E8" s="101">
        <f>IF($B$5="inward",C8-2*D8,C8)</f>
        <v/>
      </c>
      <c r="F8" s="101">
        <f>IF(OR(E8="",$B$4=""),"",E8/2-$B$4)</f>
        <v/>
      </c>
      <c r="G8" s="102">
        <f>IFERROR(A_Bench!F9,"")</f>
        <v/>
      </c>
      <c r="H8" s="102">
        <f>IFERROR(A_Bench!G9,"")</f>
        <v/>
      </c>
      <c r="I8" s="103">
        <f>IFERROR(A_Bench!H9,"")</f>
        <v/>
      </c>
      <c r="J8" s="102">
        <f>IFERROR(A_Bench!K9,"")</f>
        <v/>
      </c>
      <c r="K8" s="102">
        <f>IFERROR(A_Bench!M9,"")</f>
        <v/>
      </c>
      <c r="L8" s="104">
        <f>IFERROR(A_Bench!N9,"")</f>
        <v/>
      </c>
      <c r="M8" s="104">
        <f>IFERROR(A_Bench!U9,"")</f>
        <v/>
      </c>
      <c r="N8" s="105">
        <f>IF(OR(K8="",L8="",M8=""),"",IF(AND(K8=1,L8&gt;=0.9,L8&lt;=1.1,M8&gt;=0.85),"pass","FAIL"))</f>
        <v/>
      </c>
      <c r="O8" s="106">
        <f>IFERROR(A_Bench!P9,"")</f>
        <v/>
      </c>
      <c r="P8" s="106">
        <f>IFERROR(A_Bench!Q9,"")</f>
        <v/>
      </c>
      <c r="Q8" s="107">
        <f>IF(OR(O8="",P8=""),"",SQRT(0.5*(O8^2+P8^2)))</f>
        <v/>
      </c>
      <c r="R8" s="108">
        <f>IF(OR(G8="",$G$8="",$G$8=0),"",G8/$G$8)</f>
        <v/>
      </c>
      <c r="S8" s="109">
        <f>IF(OR(M8="",$M$8=""),"",M8-$M$8)</f>
        <v/>
      </c>
      <c r="T8" s="110" t="n"/>
    </row>
    <row r="9">
      <c r="A9" s="80" t="n">
        <v>1</v>
      </c>
      <c r="B9" s="82" t="inlineStr">
        <is>
          <t>Vishay</t>
        </is>
      </c>
      <c r="C9" s="85" t="n">
        <v>20</v>
      </c>
      <c r="D9" s="86" t="n">
        <v>0.4</v>
      </c>
      <c r="E9" s="86">
        <f>IF($B$5="inward",C9-2*D9,C9)</f>
        <v/>
      </c>
      <c r="F9" s="86">
        <f>IF(OR(E9="",$B$4=""),"",E9/2-$B$4)</f>
        <v/>
      </c>
      <c r="G9" s="74" t="n"/>
      <c r="H9" s="74" t="n"/>
      <c r="I9" s="72" t="n"/>
      <c r="J9" s="74" t="n"/>
      <c r="K9" s="74" t="n"/>
      <c r="L9" s="79" t="n"/>
      <c r="M9" s="79" t="n"/>
      <c r="N9" s="80">
        <f>IF(OR(K9="",L9="",M9=""),"",IF(AND(K9=1,L9&gt;=0.9,L9&lt;=1.1,M9&gt;=0.85),"pass","FAIL"))</f>
        <v/>
      </c>
      <c r="O9" s="83" t="n"/>
      <c r="P9" s="83" t="n"/>
      <c r="Q9" s="84">
        <f>IF(OR(O9="",P9=""),"",SQRT(0.5*(O9^2+P9^2)))</f>
        <v/>
      </c>
      <c r="R9" s="75">
        <f>IF(OR(G9="",$G$8="",$G$8=0),"",G9/$G$8)</f>
        <v/>
      </c>
      <c r="S9" s="111">
        <f>IF(OR(M9="",$M$8=""),"",M9-$M$8)</f>
        <v/>
      </c>
      <c r="T9" s="81" t="n"/>
    </row>
    <row r="10">
      <c r="A10" s="80" t="inlineStr">
        <is>
          <t>drop</t>
        </is>
      </c>
      <c r="B10" s="82" t="inlineStr">
        <is>
          <t>Vishay</t>
        </is>
      </c>
      <c r="C10" s="85" t="n">
        <v>20</v>
      </c>
      <c r="D10" s="86" t="n">
        <v>0.5</v>
      </c>
      <c r="E10" s="86">
        <f>IF($B$5="inward",C10-2*D10,C10)</f>
        <v/>
      </c>
      <c r="F10" s="86">
        <f>IF(OR(E10="",$B$4=""),"",E10/2-$B$4)</f>
        <v/>
      </c>
      <c r="G10" s="74" t="n"/>
      <c r="H10" s="74" t="n"/>
      <c r="I10" s="72" t="n"/>
      <c r="J10" s="74" t="n"/>
      <c r="K10" s="74" t="n"/>
      <c r="L10" s="79" t="n"/>
      <c r="M10" s="79" t="n"/>
      <c r="N10" s="80">
        <f>IF(OR(K10="",L10="",M10=""),"",IF(AND(K10=1,L10&gt;=0.9,L10&lt;=1.1,M10&gt;=0.85),"pass","FAIL"))</f>
        <v/>
      </c>
      <c r="O10" s="83" t="n"/>
      <c r="P10" s="83" t="n"/>
      <c r="Q10" s="84">
        <f>IF(OR(O10="",P10=""),"",SQRT(0.5*(O10^2+P10^2)))</f>
        <v/>
      </c>
      <c r="R10" s="75">
        <f>IF(OR(G10="",$G$8="",$G$8=0),"",G10/$G$8)</f>
        <v/>
      </c>
      <c r="S10" s="111">
        <f>IF(OR(M10="",$M$8=""),"",M10-$M$8)</f>
        <v/>
      </c>
      <c r="T10" s="123" t="inlineStr">
        <is>
          <t>DROPPED 2026-09-04. 0.5 mm measured worse than 0.4 mm at identical transmitted flux, i.e. cap variation not thickness. Ladder reduced to 0.2 / 0.4 mm with REPLICATE caps instead.</t>
        </is>
      </c>
    </row>
    <row r="11">
      <c r="A11" s="112" t="inlineStr">
        <is>
          <t>done</t>
        </is>
      </c>
      <c r="B11" s="82" t="inlineStr">
        <is>
          <t>Vishay</t>
        </is>
      </c>
      <c r="C11" s="85" t="n">
        <v>25</v>
      </c>
      <c r="D11" s="86" t="n">
        <v>0.2</v>
      </c>
      <c r="E11" s="86">
        <f>IF($B$5="inward",C11-2*D11,C11)</f>
        <v/>
      </c>
      <c r="F11" s="86">
        <f>IF(OR(E11="",$B$4=""),"",E11/2-$B$4)</f>
        <v/>
      </c>
      <c r="G11" s="113">
        <f>IFERROR(A_Bench!F13,"")</f>
        <v/>
      </c>
      <c r="H11" s="113">
        <f>IFERROR(A_Bench!G13,"")</f>
        <v/>
      </c>
      <c r="I11" s="114">
        <f>IFERROR(A_Bench!H13,"")</f>
        <v/>
      </c>
      <c r="J11" s="113">
        <f>IFERROR(A_Bench!K13,"")</f>
        <v/>
      </c>
      <c r="K11" s="113">
        <f>IFERROR(A_Bench!M13,"")</f>
        <v/>
      </c>
      <c r="L11" s="115">
        <f>IFERROR(A_Bench!N13,"")</f>
        <v/>
      </c>
      <c r="M11" s="115">
        <f>IFERROR(A_Bench!U13,"")</f>
        <v/>
      </c>
      <c r="N11" s="80">
        <f>IF(OR(K11="",L11="",M11=""),"",IF(AND(K11=1,L11&gt;=0.9,L11&lt;=1.1,M11&gt;=0.85),"pass","FAIL"))</f>
        <v/>
      </c>
      <c r="O11" s="116">
        <f>IFERROR(A_Bench!P13,"")</f>
        <v/>
      </c>
      <c r="P11" s="116">
        <f>IFERROR(A_Bench!Q13,"")</f>
        <v/>
      </c>
      <c r="Q11" s="84">
        <f>IF(OR(O11="",P11=""),"",SQRT(0.5*(O11^2+P11^2)))</f>
        <v/>
      </c>
      <c r="R11" s="75">
        <f>IF(OR(G11="",$G$11="",$G$11=0),"",G11/$G$11)</f>
        <v/>
      </c>
      <c r="S11" s="111">
        <f>IF(OR(M11="",$M$11=""),"",M11-$M$11)</f>
        <v/>
      </c>
      <c r="T11" s="81" t="n"/>
    </row>
    <row r="12">
      <c r="A12" s="80" t="n">
        <v>1</v>
      </c>
      <c r="B12" s="82" t="inlineStr">
        <is>
          <t>Vishay</t>
        </is>
      </c>
      <c r="C12" s="85" t="n">
        <v>25</v>
      </c>
      <c r="D12" s="86" t="n">
        <v>0.4</v>
      </c>
      <c r="E12" s="86">
        <f>IF($B$5="inward",C12-2*D12,C12)</f>
        <v/>
      </c>
      <c r="F12" s="86">
        <f>IF(OR(E12="",$B$4=""),"",E12/2-$B$4)</f>
        <v/>
      </c>
      <c r="G12" s="74" t="n"/>
      <c r="H12" s="74" t="n"/>
      <c r="I12" s="72" t="n"/>
      <c r="J12" s="74" t="n"/>
      <c r="K12" s="74" t="n"/>
      <c r="L12" s="79" t="n"/>
      <c r="M12" s="79" t="n"/>
      <c r="N12" s="80">
        <f>IF(OR(K12="",L12="",M12=""),"",IF(AND(K12=1,L12&gt;=0.9,L12&lt;=1.1,M12&gt;=0.85),"pass","FAIL"))</f>
        <v/>
      </c>
      <c r="O12" s="83" t="n"/>
      <c r="P12" s="83" t="n"/>
      <c r="Q12" s="84">
        <f>IF(OR(O12="",P12=""),"",SQRT(0.5*(O12^2+P12^2)))</f>
        <v/>
      </c>
      <c r="R12" s="75">
        <f>IF(OR(G12="",$G$11="",$G$11=0),"",G12/$G$11)</f>
        <v/>
      </c>
      <c r="S12" s="111">
        <f>IF(OR(M12="",$M$11=""),"",M12-$M$11)</f>
        <v/>
      </c>
      <c r="T12" s="81" t="n"/>
    </row>
    <row r="13">
      <c r="A13" s="80" t="inlineStr">
        <is>
          <t>drop</t>
        </is>
      </c>
      <c r="B13" s="82" t="inlineStr">
        <is>
          <t>Vishay</t>
        </is>
      </c>
      <c r="C13" s="85" t="n">
        <v>25</v>
      </c>
      <c r="D13" s="86" t="n">
        <v>0.5</v>
      </c>
      <c r="E13" s="86">
        <f>IF($B$5="inward",C13-2*D13,C13)</f>
        <v/>
      </c>
      <c r="F13" s="86">
        <f>IF(OR(E13="",$B$4=""),"",E13/2-$B$4)</f>
        <v/>
      </c>
      <c r="G13" s="74" t="n"/>
      <c r="H13" s="74" t="n"/>
      <c r="I13" s="72" t="n"/>
      <c r="J13" s="74" t="n"/>
      <c r="K13" s="74" t="n"/>
      <c r="L13" s="79" t="n"/>
      <c r="M13" s="79" t="n"/>
      <c r="N13" s="80">
        <f>IF(OR(K13="",L13="",M13=""),"",IF(AND(K13=1,L13&gt;=0.9,L13&lt;=1.1,M13&gt;=0.85),"pass","FAIL"))</f>
        <v/>
      </c>
      <c r="O13" s="83" t="n"/>
      <c r="P13" s="83" t="n"/>
      <c r="Q13" s="84">
        <f>IF(OR(O13="",P13=""),"",SQRT(0.5*(O13^2+P13^2)))</f>
        <v/>
      </c>
      <c r="R13" s="75">
        <f>IF(OR(G13="",$G$11="",$G$11=0),"",G13/$G$11)</f>
        <v/>
      </c>
      <c r="S13" s="111">
        <f>IF(OR(M13="",$M$11=""),"",M13-$M$11)</f>
        <v/>
      </c>
      <c r="T13" s="123" t="inlineStr">
        <is>
          <t>DROPPED 2026-09-04. 0.5 mm measured worse than 0.4 mm at identical transmitted flux, i.e. cap variation not thickness. Ladder reduced to 0.2 / 0.4 mm with REPLICATE caps instead.</t>
        </is>
      </c>
    </row>
    <row r="14">
      <c r="A14" s="98" t="inlineStr">
        <is>
          <t>done</t>
        </is>
      </c>
      <c r="B14" s="99" t="inlineStr">
        <is>
          <t>Kingbright</t>
        </is>
      </c>
      <c r="C14" s="100" t="n">
        <v>20</v>
      </c>
      <c r="D14" s="101" t="n">
        <v>0.2</v>
      </c>
      <c r="E14" s="101">
        <f>IF($B$5="inward",C14-2*D14,C14)</f>
        <v/>
      </c>
      <c r="F14" s="101">
        <f>IF(OR(E14="",$B$4=""),"",E14/2-$B$4)</f>
        <v/>
      </c>
      <c r="G14" s="102">
        <f>IFERROR(A_Bench!F12,"")</f>
        <v/>
      </c>
      <c r="H14" s="102">
        <f>IFERROR(A_Bench!G12,"")</f>
        <v/>
      </c>
      <c r="I14" s="103">
        <f>IFERROR(A_Bench!H12,"")</f>
        <v/>
      </c>
      <c r="J14" s="102">
        <f>IFERROR(A_Bench!K12,"")</f>
        <v/>
      </c>
      <c r="K14" s="102">
        <f>IFERROR(A_Bench!M12,"")</f>
        <v/>
      </c>
      <c r="L14" s="104">
        <f>IFERROR(A_Bench!N12,"")</f>
        <v/>
      </c>
      <c r="M14" s="104">
        <f>IFERROR(A_Bench!U12,"")</f>
        <v/>
      </c>
      <c r="N14" s="105">
        <f>IF(OR(K14="",L14="",M14=""),"",IF(AND(K14=1,L14&gt;=0.9,L14&lt;=1.1,M14&gt;=0.85),"pass","FAIL"))</f>
        <v/>
      </c>
      <c r="O14" s="106">
        <f>IFERROR(A_Bench!P12,"")</f>
        <v/>
      </c>
      <c r="P14" s="106">
        <f>IFERROR(A_Bench!Q12,"")</f>
        <v/>
      </c>
      <c r="Q14" s="107">
        <f>IF(OR(O14="",P14=""),"",SQRT(0.5*(O14^2+P14^2)))</f>
        <v/>
      </c>
      <c r="R14" s="108">
        <f>IF(OR(G14="",$G$14="",$G$14=0),"",G14/$G$14)</f>
        <v/>
      </c>
      <c r="S14" s="109">
        <f>IF(OR(M14="",$M$14=""),"",M14-$M$14)</f>
        <v/>
      </c>
      <c r="T14" s="110" t="n"/>
    </row>
    <row r="15">
      <c r="A15" s="80" t="n">
        <v>1</v>
      </c>
      <c r="B15" s="82" t="inlineStr">
        <is>
          <t>Kingbright</t>
        </is>
      </c>
      <c r="C15" s="85" t="n">
        <v>20</v>
      </c>
      <c r="D15" s="86" t="n">
        <v>0.4</v>
      </c>
      <c r="E15" s="86">
        <f>IF($B$5="inward",C15-2*D15,C15)</f>
        <v/>
      </c>
      <c r="F15" s="86">
        <f>IF(OR(E15="",$B$4=""),"",E15/2-$B$4)</f>
        <v/>
      </c>
      <c r="G15" s="74" t="n">
        <v>1186</v>
      </c>
      <c r="H15" s="74" t="n">
        <v>216.4</v>
      </c>
      <c r="I15" s="72" t="n">
        <v>0</v>
      </c>
      <c r="J15" s="74" t="n">
        <v>637</v>
      </c>
      <c r="K15" s="74" t="n">
        <v>1</v>
      </c>
      <c r="L15" s="79" t="n">
        <v>0.97</v>
      </c>
      <c r="M15" s="79" t="n">
        <v>0.68</v>
      </c>
      <c r="N15" s="80">
        <f>IF(OR(K15="",L15="",M15=""),"",IF(AND(K15=1,L15&gt;=0.9,L15&lt;=1.1,M15&gt;=0.85),"pass","FAIL"))</f>
        <v/>
      </c>
      <c r="O15" s="83" t="n">
        <v>0.0203</v>
      </c>
      <c r="P15" s="83" t="n">
        <v>0.0239</v>
      </c>
      <c r="Q15" s="84">
        <f>IF(OR(O15="",P15=""),"",SQRT(0.5*(O15^2+P15^2)))</f>
        <v/>
      </c>
      <c r="R15" s="75">
        <f>IF(OR(G15="",$G$14="",$G$14=0),"",G15/$G$14)</f>
        <v/>
      </c>
      <c r="S15" s="111">
        <f>IF(OR(M15="",$M$14=""),"",M15-$M$14)</f>
        <v/>
      </c>
      <c r="T15" s="81" t="inlineStr">
        <is>
          <t>Thicker wall works: fill +0.06, area +26%, sigma 16% better, for 1.50x the exposure.  peak 216.4, sat 0.0, fill 0.68, blend FAIL</t>
        </is>
      </c>
    </row>
    <row r="16">
      <c r="A16" s="80" t="inlineStr">
        <is>
          <t>drop</t>
        </is>
      </c>
      <c r="B16" s="82" t="inlineStr">
        <is>
          <t>Kingbright</t>
        </is>
      </c>
      <c r="C16" s="85" t="n">
        <v>20</v>
      </c>
      <c r="D16" s="86" t="n">
        <v>0.5</v>
      </c>
      <c r="E16" s="86">
        <f>IF($B$5="inward",C16-2*D16,C16)</f>
        <v/>
      </c>
      <c r="F16" s="86">
        <f>IF(OR(E16="",$B$4=""),"",E16/2-$B$4)</f>
        <v/>
      </c>
      <c r="G16" s="74" t="n">
        <v>1042</v>
      </c>
      <c r="H16" s="74" t="n">
        <v>201.8</v>
      </c>
      <c r="I16" s="72" t="n">
        <v>0</v>
      </c>
      <c r="J16" s="74" t="n">
        <v>608</v>
      </c>
      <c r="K16" s="74" t="n">
        <v>1</v>
      </c>
      <c r="L16" s="79" t="n">
        <v>0.96</v>
      </c>
      <c r="M16" s="79" t="n">
        <v>0.66</v>
      </c>
      <c r="N16" s="80">
        <f>IF(OR(K16="",L16="",M16=""),"",IF(AND(K16=1,L16&gt;=0.9,L16&lt;=1.1,M16&gt;=0.85),"pass","FAIL"))</f>
        <v/>
      </c>
      <c r="O16" s="83" t="n">
        <v>0.026</v>
      </c>
      <c r="P16" s="83" t="n">
        <v>0.0334</v>
      </c>
      <c r="Q16" s="84">
        <f>IF(OR(O16="",P16=""),"",SQRT(0.5*(O16^2+P16^2)))</f>
        <v/>
      </c>
      <c r="R16" s="75">
        <f>IF(OR(G16="",$G$14="",$G$14=0),"",G16/$G$14)</f>
        <v/>
      </c>
      <c r="S16" s="111">
        <f>IF(OR(M16="",$M$14=""),"",M16-$M$14)</f>
        <v/>
      </c>
      <c r="T16" s="123" t="inlineStr">
        <is>
          <t>DROPPED 2026-09-04. 0.5 mm measured worse than 0.4 mm at identical transmitted flux, i.e. cap variation not thickness. Ladder reduced to 0.2 / 0.4 mm with REPLICATE caps instead.</t>
        </is>
      </c>
    </row>
    <row r="17">
      <c r="A17" s="112" t="inlineStr">
        <is>
          <t>done</t>
        </is>
      </c>
      <c r="B17" s="82" t="inlineStr">
        <is>
          <t>Kingbright</t>
        </is>
      </c>
      <c r="C17" s="85" t="n">
        <v>25</v>
      </c>
      <c r="D17" s="86" t="n">
        <v>0.2</v>
      </c>
      <c r="E17" s="86">
        <f>IF($B$5="inward",C17-2*D17,C17)</f>
        <v/>
      </c>
      <c r="F17" s="86">
        <f>IF(OR(E17="",$B$4=""),"",E17/2-$B$4)</f>
        <v/>
      </c>
      <c r="G17" s="113">
        <f>IFERROR(A_Bench!F16,"")</f>
        <v/>
      </c>
      <c r="H17" s="113">
        <f>IFERROR(A_Bench!G16,"")</f>
        <v/>
      </c>
      <c r="I17" s="114">
        <f>IFERROR(A_Bench!H16,"")</f>
        <v/>
      </c>
      <c r="J17" s="113">
        <f>IFERROR(A_Bench!K16,"")</f>
        <v/>
      </c>
      <c r="K17" s="113">
        <f>IFERROR(A_Bench!M16,"")</f>
        <v/>
      </c>
      <c r="L17" s="115">
        <f>IFERROR(A_Bench!N16,"")</f>
        <v/>
      </c>
      <c r="M17" s="115">
        <f>IFERROR(A_Bench!U16,"")</f>
        <v/>
      </c>
      <c r="N17" s="80">
        <f>IF(OR(K17="",L17="",M17=""),"",IF(AND(K17=1,L17&gt;=0.9,L17&lt;=1.1,M17&gt;=0.85),"pass","FAIL"))</f>
        <v/>
      </c>
      <c r="O17" s="116">
        <f>IFERROR(A_Bench!P16,"")</f>
        <v/>
      </c>
      <c r="P17" s="116">
        <f>IFERROR(A_Bench!Q16,"")</f>
        <v/>
      </c>
      <c r="Q17" s="84">
        <f>IF(OR(O17="",P17=""),"",SQRT(0.5*(O17^2+P17^2)))</f>
        <v/>
      </c>
      <c r="R17" s="75">
        <f>IF(OR(G17="",$G$17="",$G$17=0),"",G17/$G$17)</f>
        <v/>
      </c>
      <c r="S17" s="111">
        <f>IF(OR(M17="",$M$17=""),"",M17-$M$17)</f>
        <v/>
      </c>
      <c r="T17" s="81" t="n"/>
    </row>
    <row r="18">
      <c r="A18" s="80" t="n">
        <v>1</v>
      </c>
      <c r="B18" s="82" t="inlineStr">
        <is>
          <t>Kingbright</t>
        </is>
      </c>
      <c r="C18" s="85" t="n">
        <v>25</v>
      </c>
      <c r="D18" s="86" t="n">
        <v>0.4</v>
      </c>
      <c r="E18" s="86">
        <f>IF($B$5="inward",C18-2*D18,C18)</f>
        <v/>
      </c>
      <c r="F18" s="86">
        <f>IF(OR(E18="",$B$4=""),"",E18/2-$B$4)</f>
        <v/>
      </c>
      <c r="G18" s="74" t="n">
        <v>736</v>
      </c>
      <c r="H18" s="74" t="n">
        <v>198.9</v>
      </c>
      <c r="I18" s="72" t="n">
        <v>0</v>
      </c>
      <c r="J18" s="74" t="n">
        <v>615</v>
      </c>
      <c r="K18" s="74" t="n">
        <v>1</v>
      </c>
      <c r="L18" s="79" t="n">
        <v>0.99</v>
      </c>
      <c r="M18" s="79" t="n">
        <v>0.67</v>
      </c>
      <c r="N18" s="80">
        <f>IF(OR(K18="",L18="",M18=""),"",IF(AND(K18=1,L18&gt;=0.9,L18&lt;=1.1,M18&gt;=0.85),"pass","FAIL"))</f>
        <v/>
      </c>
      <c r="O18" s="83" t="n">
        <v>0.0206</v>
      </c>
      <c r="P18" s="83" t="n">
        <v>0.0232</v>
      </c>
      <c r="Q18" s="84">
        <f>IF(OR(O18="",P18=""),"",SQRT(0.5*(O18^2+P18^2)))</f>
        <v/>
      </c>
      <c r="R18" s="75">
        <f>IF(OR(G18="",$G$17="",$G$17=0),"",G18/$G$17)</f>
        <v/>
      </c>
      <c r="S18" s="111">
        <f>IF(OR(M18="",$M$17=""),"",M18-$M$17)</f>
        <v/>
      </c>
      <c r="T18" s="81" t="inlineStr">
        <is>
          <t>In-band re-run. First attempt at 647 us (peak 185) gave area 482 / fill 0.61 / sigma 0.0303 - SAME CAP. A 14% exposure change moved area 28%, so area and fill must be compared at matched peak, not just within 200-230.  peak 198.9, sat 0.0, fill 0.67, blend FAIL</t>
        </is>
      </c>
    </row>
    <row r="19">
      <c r="A19" s="80" t="inlineStr">
        <is>
          <t>drop</t>
        </is>
      </c>
      <c r="B19" s="82" t="inlineStr">
        <is>
          <t>Kingbright</t>
        </is>
      </c>
      <c r="C19" s="85" t="n">
        <v>25</v>
      </c>
      <c r="D19" s="86" t="n">
        <v>0.5</v>
      </c>
      <c r="E19" s="86">
        <f>IF($B$5="inward",C19-2*D19,C19)</f>
        <v/>
      </c>
      <c r="F19" s="86">
        <f>IF(OR(E19="",$B$4=""),"",E19/2-$B$4)</f>
        <v/>
      </c>
      <c r="G19" s="74" t="n"/>
      <c r="H19" s="74" t="n"/>
      <c r="I19" s="72" t="n"/>
      <c r="J19" s="74" t="n"/>
      <c r="K19" s="74" t="n"/>
      <c r="L19" s="79" t="n"/>
      <c r="M19" s="79" t="n"/>
      <c r="N19" s="80">
        <f>IF(OR(K19="",L19="",M19=""),"",IF(AND(K19=1,L19&gt;=0.9,L19&lt;=1.1,M19&gt;=0.85),"pass","FAIL"))</f>
        <v/>
      </c>
      <c r="O19" s="83" t="n"/>
      <c r="P19" s="83" t="n"/>
      <c r="Q19" s="84">
        <f>IF(OR(O19="",P19=""),"",SQRT(0.5*(O19^2+P19^2)))</f>
        <v/>
      </c>
      <c r="R19" s="75">
        <f>IF(OR(G19="",$G$17="",$G$17=0),"",G19/$G$17)</f>
        <v/>
      </c>
      <c r="S19" s="111">
        <f>IF(OR(M19="",$M$17=""),"",M19-$M$17)</f>
        <v/>
      </c>
      <c r="T19" s="123" t="inlineStr">
        <is>
          <t>DROPPED 2026-09-04. 0.5 mm measured worse than 0.4 mm at identical transmitted flux, i.e. cap variation not thickness. Ladder reduced to 0.2 / 0.4 mm with REPLICATE caps instead.</t>
        </is>
      </c>
    </row>
    <row r="20">
      <c r="A20" s="98" t="inlineStr">
        <is>
          <t>done</t>
        </is>
      </c>
      <c r="B20" s="99" t="inlineStr">
        <is>
          <t>Everlight</t>
        </is>
      </c>
      <c r="C20" s="100" t="n">
        <v>20</v>
      </c>
      <c r="D20" s="101" t="n">
        <v>0.2</v>
      </c>
      <c r="E20" s="101">
        <f>IF($B$5="inward",C20-2*D20,C20)</f>
        <v/>
      </c>
      <c r="F20" s="101">
        <f>IF(OR(E20="",$B$4=""),"",E20/2-$B$4)</f>
        <v/>
      </c>
      <c r="G20" s="102">
        <f>IFERROR(A_Bench!F10,"")</f>
        <v/>
      </c>
      <c r="H20" s="102">
        <f>IFERROR(A_Bench!G10,"")</f>
        <v/>
      </c>
      <c r="I20" s="103">
        <f>IFERROR(A_Bench!H10,"")</f>
        <v/>
      </c>
      <c r="J20" s="102">
        <f>IFERROR(A_Bench!K10,"")</f>
        <v/>
      </c>
      <c r="K20" s="102">
        <f>IFERROR(A_Bench!M10,"")</f>
        <v/>
      </c>
      <c r="L20" s="104">
        <f>IFERROR(A_Bench!N10,"")</f>
        <v/>
      </c>
      <c r="M20" s="104">
        <f>IFERROR(A_Bench!U10,"")</f>
        <v/>
      </c>
      <c r="N20" s="105">
        <f>IF(OR(K20="",L20="",M20=""),"",IF(AND(K20=1,L20&gt;=0.9,L20&lt;=1.1,M20&gt;=0.85),"pass","FAIL"))</f>
        <v/>
      </c>
      <c r="O20" s="106">
        <f>IFERROR(A_Bench!P10,"")</f>
        <v/>
      </c>
      <c r="P20" s="106">
        <f>IFERROR(A_Bench!Q10,"")</f>
        <v/>
      </c>
      <c r="Q20" s="107">
        <f>IF(OR(O20="",P20=""),"",SQRT(0.5*(O20^2+P20^2)))</f>
        <v/>
      </c>
      <c r="R20" s="108">
        <f>IF(OR(G20="",$G$20="",$G$20=0),"",G20/$G$20)</f>
        <v/>
      </c>
      <c r="S20" s="109">
        <f>IF(OR(M20="",$M$20=""),"",M20-$M$20)</f>
        <v/>
      </c>
      <c r="T20" s="110" t="n"/>
    </row>
    <row r="21">
      <c r="A21" s="80" t="n">
        <v>2</v>
      </c>
      <c r="B21" s="82" t="inlineStr">
        <is>
          <t>Everlight</t>
        </is>
      </c>
      <c r="C21" s="85" t="n">
        <v>20</v>
      </c>
      <c r="D21" s="86" t="n">
        <v>0.4</v>
      </c>
      <c r="E21" s="86">
        <f>IF($B$5="inward",C21-2*D21,C21)</f>
        <v/>
      </c>
      <c r="F21" s="86">
        <f>IF(OR(E21="",$B$4=""),"",E21/2-$B$4)</f>
        <v/>
      </c>
      <c r="G21" s="74" t="n"/>
      <c r="H21" s="74" t="n"/>
      <c r="I21" s="72" t="n"/>
      <c r="J21" s="74" t="n"/>
      <c r="K21" s="74" t="n"/>
      <c r="L21" s="79" t="n"/>
      <c r="M21" s="79" t="n"/>
      <c r="N21" s="80">
        <f>IF(OR(K21="",L21="",M21=""),"",IF(AND(K21=1,L21&gt;=0.9,L21&lt;=1.1,M21&gt;=0.85),"pass","FAIL"))</f>
        <v/>
      </c>
      <c r="O21" s="83" t="n"/>
      <c r="P21" s="83" t="n"/>
      <c r="Q21" s="84">
        <f>IF(OR(O21="",P21=""),"",SQRT(0.5*(O21^2+P21^2)))</f>
        <v/>
      </c>
      <c r="R21" s="75">
        <f>IF(OR(G21="",$G$20="",$G$20=0),"",G21/$G$20)</f>
        <v/>
      </c>
      <c r="S21" s="111">
        <f>IF(OR(M21="",$M$20=""),"",M21-$M$20)</f>
        <v/>
      </c>
      <c r="T21" s="81" t="n"/>
    </row>
    <row r="22">
      <c r="A22" s="80" t="inlineStr">
        <is>
          <t>drop</t>
        </is>
      </c>
      <c r="B22" s="82" t="inlineStr">
        <is>
          <t>Everlight</t>
        </is>
      </c>
      <c r="C22" s="85" t="n">
        <v>20</v>
      </c>
      <c r="D22" s="86" t="n">
        <v>0.5</v>
      </c>
      <c r="E22" s="86">
        <f>IF($B$5="inward",C22-2*D22,C22)</f>
        <v/>
      </c>
      <c r="F22" s="86">
        <f>IF(OR(E22="",$B$4=""),"",E22/2-$B$4)</f>
        <v/>
      </c>
      <c r="G22" s="74" t="n"/>
      <c r="H22" s="74" t="n"/>
      <c r="I22" s="72" t="n"/>
      <c r="J22" s="74" t="n"/>
      <c r="K22" s="74" t="n"/>
      <c r="L22" s="79" t="n"/>
      <c r="M22" s="79" t="n"/>
      <c r="N22" s="80">
        <f>IF(OR(K22="",L22="",M22=""),"",IF(AND(K22=1,L22&gt;=0.9,L22&lt;=1.1,M22&gt;=0.85),"pass","FAIL"))</f>
        <v/>
      </c>
      <c r="O22" s="83" t="n"/>
      <c r="P22" s="83" t="n"/>
      <c r="Q22" s="84">
        <f>IF(OR(O22="",P22=""),"",SQRT(0.5*(O22^2+P22^2)))</f>
        <v/>
      </c>
      <c r="R22" s="75">
        <f>IF(OR(G22="",$G$20="",$G$20=0),"",G22/$G$20)</f>
        <v/>
      </c>
      <c r="S22" s="111">
        <f>IF(OR(M22="",$M$20=""),"",M22-$M$20)</f>
        <v/>
      </c>
      <c r="T22" s="123" t="inlineStr">
        <is>
          <t>DROPPED 2026-09-04. 0.5 mm measured worse than 0.4 mm at identical transmitted flux, i.e. cap variation not thickness. Ladder reduced to 0.2 / 0.4 mm with REPLICATE caps instead.</t>
        </is>
      </c>
    </row>
    <row r="23">
      <c r="A23" s="112" t="inlineStr">
        <is>
          <t>done</t>
        </is>
      </c>
      <c r="B23" s="82" t="inlineStr">
        <is>
          <t>Everlight</t>
        </is>
      </c>
      <c r="C23" s="85" t="n">
        <v>25</v>
      </c>
      <c r="D23" s="86" t="n">
        <v>0.2</v>
      </c>
      <c r="E23" s="86">
        <f>IF($B$5="inward",C23-2*D23,C23)</f>
        <v/>
      </c>
      <c r="F23" s="86">
        <f>IF(OR(E23="",$B$4=""),"",E23/2-$B$4)</f>
        <v/>
      </c>
      <c r="G23" s="113">
        <f>IFERROR(A_Bench!F14,"")</f>
        <v/>
      </c>
      <c r="H23" s="113">
        <f>IFERROR(A_Bench!G14,"")</f>
        <v/>
      </c>
      <c r="I23" s="114">
        <f>IFERROR(A_Bench!H14,"")</f>
        <v/>
      </c>
      <c r="J23" s="113">
        <f>IFERROR(A_Bench!K14,"")</f>
        <v/>
      </c>
      <c r="K23" s="113">
        <f>IFERROR(A_Bench!M14,"")</f>
        <v/>
      </c>
      <c r="L23" s="115">
        <f>IFERROR(A_Bench!N14,"")</f>
        <v/>
      </c>
      <c r="M23" s="115">
        <f>IFERROR(A_Bench!U14,"")</f>
        <v/>
      </c>
      <c r="N23" s="80">
        <f>IF(OR(K23="",L23="",M23=""),"",IF(AND(K23=1,L23&gt;=0.9,L23&lt;=1.1,M23&gt;=0.85),"pass","FAIL"))</f>
        <v/>
      </c>
      <c r="O23" s="116">
        <f>IFERROR(A_Bench!P14,"")</f>
        <v/>
      </c>
      <c r="P23" s="116">
        <f>IFERROR(A_Bench!Q14,"")</f>
        <v/>
      </c>
      <c r="Q23" s="84">
        <f>IF(OR(O23="",P23=""),"",SQRT(0.5*(O23^2+P23^2)))</f>
        <v/>
      </c>
      <c r="R23" s="75">
        <f>IF(OR(G23="",$G$23="",$G$23=0),"",G23/$G$23)</f>
        <v/>
      </c>
      <c r="S23" s="111">
        <f>IF(OR(M23="",$M$23=""),"",M23-$M$23)</f>
        <v/>
      </c>
      <c r="T23" s="81" t="n"/>
    </row>
    <row r="24">
      <c r="A24" s="80" t="n">
        <v>2</v>
      </c>
      <c r="B24" s="82" t="inlineStr">
        <is>
          <t>Everlight</t>
        </is>
      </c>
      <c r="C24" s="85" t="n">
        <v>25</v>
      </c>
      <c r="D24" s="86" t="n">
        <v>0.4</v>
      </c>
      <c r="E24" s="86">
        <f>IF($B$5="inward",C24-2*D24,C24)</f>
        <v/>
      </c>
      <c r="F24" s="86">
        <f>IF(OR(E24="",$B$4=""),"",E24/2-$B$4)</f>
        <v/>
      </c>
      <c r="G24" s="74" t="n"/>
      <c r="H24" s="74" t="n"/>
      <c r="I24" s="72" t="n"/>
      <c r="J24" s="74" t="n"/>
      <c r="K24" s="74" t="n"/>
      <c r="L24" s="79" t="n"/>
      <c r="M24" s="79" t="n"/>
      <c r="N24" s="80">
        <f>IF(OR(K24="",L24="",M24=""),"",IF(AND(K24=1,L24&gt;=0.9,L24&lt;=1.1,M24&gt;=0.85),"pass","FAIL"))</f>
        <v/>
      </c>
      <c r="O24" s="83" t="n"/>
      <c r="P24" s="83" t="n"/>
      <c r="Q24" s="84">
        <f>IF(OR(O24="",P24=""),"",SQRT(0.5*(O24^2+P24^2)))</f>
        <v/>
      </c>
      <c r="R24" s="75">
        <f>IF(OR(G24="",$G$23="",$G$23=0),"",G24/$G$23)</f>
        <v/>
      </c>
      <c r="S24" s="111">
        <f>IF(OR(M24="",$M$23=""),"",M24-$M$23)</f>
        <v/>
      </c>
      <c r="T24" s="81" t="n"/>
    </row>
    <row r="25">
      <c r="A25" s="80" t="inlineStr">
        <is>
          <t>drop</t>
        </is>
      </c>
      <c r="B25" s="82" t="inlineStr">
        <is>
          <t>Everlight</t>
        </is>
      </c>
      <c r="C25" s="85" t="n">
        <v>25</v>
      </c>
      <c r="D25" s="86" t="n">
        <v>0.5</v>
      </c>
      <c r="E25" s="86">
        <f>IF($B$5="inward",C25-2*D25,C25)</f>
        <v/>
      </c>
      <c r="F25" s="86">
        <f>IF(OR(E25="",$B$4=""),"",E25/2-$B$4)</f>
        <v/>
      </c>
      <c r="G25" s="74" t="n"/>
      <c r="H25" s="74" t="n"/>
      <c r="I25" s="72" t="n"/>
      <c r="J25" s="74" t="n"/>
      <c r="K25" s="74" t="n"/>
      <c r="L25" s="79" t="n"/>
      <c r="M25" s="79" t="n"/>
      <c r="N25" s="80">
        <f>IF(OR(K25="",L25="",M25=""),"",IF(AND(K25=1,L25&gt;=0.9,L25&lt;=1.1,M25&gt;=0.85),"pass","FAIL"))</f>
        <v/>
      </c>
      <c r="O25" s="83" t="n"/>
      <c r="P25" s="83" t="n"/>
      <c r="Q25" s="84">
        <f>IF(OR(O25="",P25=""),"",SQRT(0.5*(O25^2+P25^2)))</f>
        <v/>
      </c>
      <c r="R25" s="75">
        <f>IF(OR(G25="",$G$23="",$G$23=0),"",G25/$G$23)</f>
        <v/>
      </c>
      <c r="S25" s="111">
        <f>IF(OR(M25="",$M$23=""),"",M25-$M$23)</f>
        <v/>
      </c>
      <c r="T25" s="123" t="inlineStr">
        <is>
          <t>DROPPED 2026-09-04. 0.5 mm measured worse than 0.4 mm at identical transmitted flux, i.e. cap variation not thickness. Ladder reduced to 0.2 / 0.4 mm with REPLICATE caps instead.</t>
        </is>
      </c>
    </row>
    <row r="26">
      <c r="A26" s="98" t="inlineStr">
        <is>
          <t>done</t>
        </is>
      </c>
      <c r="B26" s="99" t="inlineStr">
        <is>
          <t>XL</t>
        </is>
      </c>
      <c r="C26" s="100" t="n">
        <v>20</v>
      </c>
      <c r="D26" s="101" t="n">
        <v>0.2</v>
      </c>
      <c r="E26" s="101">
        <f>IF($B$5="inward",C26-2*D26,C26)</f>
        <v/>
      </c>
      <c r="F26" s="101">
        <f>IF(OR(E26="",$B$4=""),"",E26/2-$B$4)</f>
        <v/>
      </c>
      <c r="G26" s="102">
        <f>IFERROR(A_Bench!F11,"")</f>
        <v/>
      </c>
      <c r="H26" s="102">
        <f>IFERROR(A_Bench!G11,"")</f>
        <v/>
      </c>
      <c r="I26" s="103">
        <f>IFERROR(A_Bench!H11,"")</f>
        <v/>
      </c>
      <c r="J26" s="102">
        <f>IFERROR(A_Bench!K11,"")</f>
        <v/>
      </c>
      <c r="K26" s="102">
        <f>IFERROR(A_Bench!M11,"")</f>
        <v/>
      </c>
      <c r="L26" s="104">
        <f>IFERROR(A_Bench!N11,"")</f>
        <v/>
      </c>
      <c r="M26" s="104">
        <f>IFERROR(A_Bench!U11,"")</f>
        <v/>
      </c>
      <c r="N26" s="105">
        <f>IF(OR(K26="",L26="",M26=""),"",IF(AND(K26=1,L26&gt;=0.9,L26&lt;=1.1,M26&gt;=0.85),"pass","FAIL"))</f>
        <v/>
      </c>
      <c r="O26" s="106">
        <f>IFERROR(A_Bench!P11,"")</f>
        <v/>
      </c>
      <c r="P26" s="106">
        <f>IFERROR(A_Bench!Q11,"")</f>
        <v/>
      </c>
      <c r="Q26" s="107">
        <f>IF(OR(O26="",P26=""),"",SQRT(0.5*(O26^2+P26^2)))</f>
        <v/>
      </c>
      <c r="R26" s="108">
        <f>IF(OR(G26="",$G$26="",$G$26=0),"",G26/$G$26)</f>
        <v/>
      </c>
      <c r="S26" s="109">
        <f>IF(OR(M26="",$M$26=""),"",M26-$M$26)</f>
        <v/>
      </c>
      <c r="T26" s="110" t="n"/>
    </row>
    <row r="27">
      <c r="A27" s="80" t="n">
        <v>3</v>
      </c>
      <c r="B27" s="82" t="inlineStr">
        <is>
          <t>XL</t>
        </is>
      </c>
      <c r="C27" s="85" t="n">
        <v>20</v>
      </c>
      <c r="D27" s="86" t="n">
        <v>0.4</v>
      </c>
      <c r="E27" s="86">
        <f>IF($B$5="inward",C27-2*D27,C27)</f>
        <v/>
      </c>
      <c r="F27" s="86">
        <f>IF(OR(E27="",$B$4=""),"",E27/2-$B$4)</f>
        <v/>
      </c>
      <c r="G27" s="74" t="n"/>
      <c r="H27" s="74" t="n"/>
      <c r="I27" s="72" t="n"/>
      <c r="J27" s="74" t="n"/>
      <c r="K27" s="74" t="n"/>
      <c r="L27" s="79" t="n"/>
      <c r="M27" s="79" t="n"/>
      <c r="N27" s="80">
        <f>IF(OR(K27="",L27="",M27=""),"",IF(AND(K27=1,L27&gt;=0.9,L27&lt;=1.1,M27&gt;=0.85),"pass","FAIL"))</f>
        <v/>
      </c>
      <c r="O27" s="83" t="n"/>
      <c r="P27" s="83" t="n"/>
      <c r="Q27" s="84">
        <f>IF(OR(O27="",P27=""),"",SQRT(0.5*(O27^2+P27^2)))</f>
        <v/>
      </c>
      <c r="R27" s="75">
        <f>IF(OR(G27="",$G$26="",$G$26=0),"",G27/$G$26)</f>
        <v/>
      </c>
      <c r="S27" s="111">
        <f>IF(OR(M27="",$M$26=""),"",M27-$M$26)</f>
        <v/>
      </c>
      <c r="T27" s="81" t="n"/>
    </row>
    <row r="28">
      <c r="A28" s="80" t="inlineStr">
        <is>
          <t>drop</t>
        </is>
      </c>
      <c r="B28" s="82" t="inlineStr">
        <is>
          <t>XL</t>
        </is>
      </c>
      <c r="C28" s="85" t="n">
        <v>20</v>
      </c>
      <c r="D28" s="86" t="n">
        <v>0.5</v>
      </c>
      <c r="E28" s="86">
        <f>IF($B$5="inward",C28-2*D28,C28)</f>
        <v/>
      </c>
      <c r="F28" s="86">
        <f>IF(OR(E28="",$B$4=""),"",E28/2-$B$4)</f>
        <v/>
      </c>
      <c r="G28" s="74" t="n"/>
      <c r="H28" s="74" t="n"/>
      <c r="I28" s="72" t="n"/>
      <c r="J28" s="74" t="n"/>
      <c r="K28" s="74" t="n"/>
      <c r="L28" s="79" t="n"/>
      <c r="M28" s="79" t="n"/>
      <c r="N28" s="80">
        <f>IF(OR(K28="",L28="",M28=""),"",IF(AND(K28=1,L28&gt;=0.9,L28&lt;=1.1,M28&gt;=0.85),"pass","FAIL"))</f>
        <v/>
      </c>
      <c r="O28" s="83" t="n"/>
      <c r="P28" s="83" t="n"/>
      <c r="Q28" s="84">
        <f>IF(OR(O28="",P28=""),"",SQRT(0.5*(O28^2+P28^2)))</f>
        <v/>
      </c>
      <c r="R28" s="75">
        <f>IF(OR(G28="",$G$26="",$G$26=0),"",G28/$G$26)</f>
        <v/>
      </c>
      <c r="S28" s="111">
        <f>IF(OR(M28="",$M$26=""),"",M28-$M$26)</f>
        <v/>
      </c>
      <c r="T28" s="123" t="inlineStr">
        <is>
          <t>DROPPED 2026-09-04. 0.5 mm measured worse than 0.4 mm at identical transmitted flux, i.e. cap variation not thickness. Ladder reduced to 0.2 / 0.4 mm with REPLICATE caps instead.</t>
        </is>
      </c>
    </row>
    <row r="29">
      <c r="A29" s="112" t="inlineStr">
        <is>
          <t>done</t>
        </is>
      </c>
      <c r="B29" s="82" t="inlineStr">
        <is>
          <t>XL</t>
        </is>
      </c>
      <c r="C29" s="85" t="n">
        <v>25</v>
      </c>
      <c r="D29" s="86" t="n">
        <v>0.2</v>
      </c>
      <c r="E29" s="86">
        <f>IF($B$5="inward",C29-2*D29,C29)</f>
        <v/>
      </c>
      <c r="F29" s="86">
        <f>IF(OR(E29="",$B$4=""),"",E29/2-$B$4)</f>
        <v/>
      </c>
      <c r="G29" s="113">
        <f>IFERROR(A_Bench!F15,"")</f>
        <v/>
      </c>
      <c r="H29" s="113">
        <f>IFERROR(A_Bench!G15,"")</f>
        <v/>
      </c>
      <c r="I29" s="114">
        <f>IFERROR(A_Bench!H15,"")</f>
        <v/>
      </c>
      <c r="J29" s="113">
        <f>IFERROR(A_Bench!K15,"")</f>
        <v/>
      </c>
      <c r="K29" s="113">
        <f>IFERROR(A_Bench!M15,"")</f>
        <v/>
      </c>
      <c r="L29" s="115">
        <f>IFERROR(A_Bench!N15,"")</f>
        <v/>
      </c>
      <c r="M29" s="115">
        <f>IFERROR(A_Bench!U15,"")</f>
        <v/>
      </c>
      <c r="N29" s="80">
        <f>IF(OR(K29="",L29="",M29=""),"",IF(AND(K29=1,L29&gt;=0.9,L29&lt;=1.1,M29&gt;=0.85),"pass","FAIL"))</f>
        <v/>
      </c>
      <c r="O29" s="116">
        <f>IFERROR(A_Bench!P15,"")</f>
        <v/>
      </c>
      <c r="P29" s="116">
        <f>IFERROR(A_Bench!Q15,"")</f>
        <v/>
      </c>
      <c r="Q29" s="84">
        <f>IF(OR(O29="",P29=""),"",SQRT(0.5*(O29^2+P29^2)))</f>
        <v/>
      </c>
      <c r="R29" s="75">
        <f>IF(OR(G29="",$G$29="",$G$29=0),"",G29/$G$29)</f>
        <v/>
      </c>
      <c r="S29" s="111">
        <f>IF(OR(M29="",$M$29=""),"",M29-$M$29)</f>
        <v/>
      </c>
      <c r="T29" s="81" t="n"/>
    </row>
    <row r="30">
      <c r="A30" s="80" t="n">
        <v>3</v>
      </c>
      <c r="B30" s="82" t="inlineStr">
        <is>
          <t>XL</t>
        </is>
      </c>
      <c r="C30" s="85" t="n">
        <v>25</v>
      </c>
      <c r="D30" s="86" t="n">
        <v>0.4</v>
      </c>
      <c r="E30" s="86">
        <f>IF($B$5="inward",C30-2*D30,C30)</f>
        <v/>
      </c>
      <c r="F30" s="86">
        <f>IF(OR(E30="",$B$4=""),"",E30/2-$B$4)</f>
        <v/>
      </c>
      <c r="G30" s="74" t="n"/>
      <c r="H30" s="74" t="n"/>
      <c r="I30" s="72" t="n"/>
      <c r="J30" s="74" t="n"/>
      <c r="K30" s="74" t="n"/>
      <c r="L30" s="79" t="n"/>
      <c r="M30" s="79" t="n"/>
      <c r="N30" s="80">
        <f>IF(OR(K30="",L30="",M30=""),"",IF(AND(K30=1,L30&gt;=0.9,L30&lt;=1.1,M30&gt;=0.85),"pass","FAIL"))</f>
        <v/>
      </c>
      <c r="O30" s="83" t="n"/>
      <c r="P30" s="83" t="n"/>
      <c r="Q30" s="84">
        <f>IF(OR(O30="",P30=""),"",SQRT(0.5*(O30^2+P30^2)))</f>
        <v/>
      </c>
      <c r="R30" s="75">
        <f>IF(OR(G30="",$G$29="",$G$29=0),"",G30/$G$29)</f>
        <v/>
      </c>
      <c r="S30" s="111">
        <f>IF(OR(M30="",$M$29=""),"",M30-$M$29)</f>
        <v/>
      </c>
      <c r="T30" s="81" t="n"/>
    </row>
    <row r="31">
      <c r="A31" s="80" t="inlineStr">
        <is>
          <t>drop</t>
        </is>
      </c>
      <c r="B31" s="82" t="inlineStr">
        <is>
          <t>XL</t>
        </is>
      </c>
      <c r="C31" s="85" t="n">
        <v>25</v>
      </c>
      <c r="D31" s="86" t="n">
        <v>0.5</v>
      </c>
      <c r="E31" s="86">
        <f>IF($B$5="inward",C31-2*D31,C31)</f>
        <v/>
      </c>
      <c r="F31" s="86">
        <f>IF(OR(E31="",$B$4=""),"",E31/2-$B$4)</f>
        <v/>
      </c>
      <c r="G31" s="74" t="n"/>
      <c r="H31" s="74" t="n"/>
      <c r="I31" s="72" t="n"/>
      <c r="J31" s="74" t="n"/>
      <c r="K31" s="74" t="n"/>
      <c r="L31" s="79" t="n"/>
      <c r="M31" s="79" t="n"/>
      <c r="N31" s="80">
        <f>IF(OR(K31="",L31="",M31=""),"",IF(AND(K31=1,L31&gt;=0.9,L31&lt;=1.1,M31&gt;=0.85),"pass","FAIL"))</f>
        <v/>
      </c>
      <c r="O31" s="83" t="n"/>
      <c r="P31" s="83" t="n"/>
      <c r="Q31" s="84">
        <f>IF(OR(O31="",P31=""),"",SQRT(0.5*(O31^2+P31^2)))</f>
        <v/>
      </c>
      <c r="R31" s="75">
        <f>IF(OR(G31="",$G$29="",$G$29=0),"",G31/$G$29)</f>
        <v/>
      </c>
      <c r="S31" s="111">
        <f>IF(OR(M31="",$M$29=""),"",M31-$M$29)</f>
        <v/>
      </c>
      <c r="T31" s="123" t="inlineStr">
        <is>
          <t>DROPPED 2026-09-04. 0.5 mm measured worse than 0.4 mm at identical transmitted flux, i.e. cap variation not thickness. Ladder reduced to 0.2 / 0.4 mm with REPLICATE caps instead.</t>
        </is>
      </c>
    </row>
    <row r="33">
      <c r="A33" s="76" t="inlineStr">
        <is>
          <t>HOW TO READ THIS</t>
        </is>
      </c>
    </row>
    <row r="34">
      <c r="A34" s="91" t="inlineStr">
        <is>
          <t>Priority 1 is Kingbright and Vishay. They are the parts that RING (fill 0.77-0.82 and 0.67-0.69 at 0.2 mm) and the only ones with the light budget to pay for a thicker wall - 251-1186 us against XL's 6057. Kingbright first: it needs the smallest lift (0.82 -&gt; 0.85) and already has the study's best sigma.</t>
        </is>
      </c>
    </row>
    <row r="35">
      <c r="A35" s="91" t="inlineStr">
        <is>
          <t>Priority 3 is XL, and only as a control. It already reads fill 0.99-1.08, so a thicker wall can only cost it light, and it has the least to spare. Its value is that it is already uniform, so its exposure-vs-wall curve is the cleanest measurement of the MATERIAL's attenuation per mm - which then predicts the cost for the others.</t>
        </is>
      </c>
    </row>
    <row r="36">
      <c r="A36" s="91" t="inlineStr">
        <is>
          <t>Standoff is NOT a confound at these thicknesses. Going 0.2 -&gt; 0.5 mm on a 20 mm shell moves the wall 0.3 mm closer to the LEDs - against a cavity radius of ~10 mm, that is negligible. This is a clean test of scattering versus transmission: a thicker wall scatters more (better fill) and transmits less (more exposure). Exposure vs 0.2 mm is the price, Fill vs 0.2 mm is what you bought.</t>
        </is>
      </c>
    </row>
    <row r="37">
      <c r="A37" s="91" t="inlineStr">
        <is>
          <t>Diameter and thickness interact differently per part. On the 2 mm caps, diameter helped Kingbright (fill 0.77 -&gt; 0.82, sigma 0.0230 -&gt; 0.0162), barely moved Vishay (0.67 -&gt; 0.69) and was irrelevant to XL (already ~1.0). Expect wall thickness to follow the same ordering: most useful where the beam is narrowest.</t>
        </is>
      </c>
    </row>
    <row r="38">
      <c r="A38" s="91" t="inlineStr">
        <is>
          <t>Exposure vs 2 mm is the price. Fill vs 2 mm is what you bought. A row is only interesting if it buys enough fill to pass the gate without pricing itself out on smear - at ~1300 px/s per m/s, every 1000 us of exposure is 1.3 px of smear at 1 m/s.</t>
        </is>
      </c>
    </row>
    <row r="39">
      <c r="A39" s="91" t="inlineStr">
        <is>
          <t>Do NOT re-measure the 0.2 mm rows here - they are pulled live from A_Bench and shown in grey. They will be blank until Test A run 3 is done, since the rig was torn down after run 2.</t>
        </is>
      </c>
    </row>
  </sheetData>
  <pageMargins left="0.75" right="0.75" top="1" bottom="1" header="0.5" footer="0.5"/>
</worksheet>
</file>

<file path=xl/worksheets/sheet10.xml><?xml version="1.0" encoding="utf-8"?>
<worksheet xmlns="http://schemas.openxmlformats.org/spreadsheetml/2006/main">
  <sheetPr>
    <tabColor rgb="FF1F3864"/>
    <outlinePr summaryBelow="1" summaryRight="1"/>
    <pageSetUpPr/>
  </sheetPr>
  <dimension ref="A1:O35"/>
  <sheetViews>
    <sheetView showGridLines="0" workbookViewId="0">
      <pane ySplit="3" topLeftCell="A4" activePane="bottomLeft" state="frozen"/>
      <selection pane="bottomLeft" activeCell="A1" sqref="A1"/>
    </sheetView>
  </sheetViews>
  <sheetFormatPr baseColWidth="10" defaultColWidth="8.83203125" defaultRowHeight="15"/>
  <cols>
    <col width="13" customWidth="1" min="1" max="1"/>
    <col width="11" customWidth="1" min="2" max="2"/>
    <col width="9" customWidth="1" min="3" max="3"/>
    <col width="10" customWidth="1" min="4" max="5"/>
    <col width="9" customWidth="1" min="6" max="6"/>
    <col width="11" customWidth="1" min="7" max="7"/>
    <col width="12" customWidth="1" min="8" max="8"/>
    <col width="11" customWidth="1" min="9" max="9"/>
    <col width="9" customWidth="1" min="10" max="10"/>
    <col width="11" customWidth="1" min="11" max="11"/>
    <col width="12" customWidth="1" min="12" max="12"/>
    <col width="13" customWidth="1" min="13" max="14"/>
    <col width="11" customWidth="1" min="15" max="15"/>
  </cols>
  <sheetData>
    <row r="1" ht="18" customHeight="1">
      <c r="A1" s="6" t="inlineStr">
        <is>
          <t>SUMMARY - fills in automatically as you enter data</t>
        </is>
      </c>
    </row>
    <row r="2">
      <c r="A2" s="7" t="inlineStr">
        <is>
          <t>Black = calculated. One row per LED type per build. RANK covers the 8 real markers only - the bare rows are a reference.</t>
        </is>
      </c>
    </row>
    <row r="3" ht="30" customHeight="1">
      <c r="A3" s="8" t="inlineStr">
        <is>
          <t>LED Type</t>
        </is>
      </c>
      <c r="B3" s="8" t="inlineStr">
        <is>
          <t>Build</t>
        </is>
      </c>
      <c r="C3" s="8" t="inlineStr">
        <is>
          <t>Drive I
(mA)</t>
        </is>
      </c>
      <c r="D3" s="8" t="inlineStr">
        <is>
          <t>Exposure
(us)</t>
        </is>
      </c>
      <c r="E3" s="8" t="inlineStr">
        <is>
          <t>Peak
mean</t>
        </is>
      </c>
      <c r="F3" s="8" t="inlineStr">
        <is>
          <t>Sat px
max</t>
        </is>
      </c>
      <c r="G3" s="8" t="inlineStr">
        <is>
          <t>Area
mean</t>
        </is>
      </c>
      <c r="H3" s="8" t="inlineStr">
        <is>
          <t>sigma_RMS
mean</t>
        </is>
      </c>
      <c r="I3" s="8" t="inlineStr">
        <is>
          <t>sig_v/sig_u</t>
        </is>
      </c>
      <c r="J3" s="8" t="inlineStr">
        <is>
          <t>Blend
gate</t>
        </is>
      </c>
      <c r="K3" s="8" t="inlineStr">
        <is>
          <t>Roll bias
max (px)</t>
        </is>
      </c>
      <c r="L3" s="8" t="inlineStr">
        <is>
          <t>Area kept
at 45 deg</t>
        </is>
      </c>
      <c r="M3" s="8" t="inlineStr">
        <is>
          <t>Max range
detected (m)</t>
        </is>
      </c>
      <c r="N3" s="8" t="inlineStr">
        <is>
          <t>Saturating?</t>
        </is>
      </c>
      <c r="O3" s="8" t="inlineStr">
        <is>
          <t>RANK
(1 = best)</t>
        </is>
      </c>
    </row>
    <row r="4">
      <c r="A4" s="15" t="inlineStr">
        <is>
          <t>Vishay</t>
        </is>
      </c>
      <c r="B4" s="16" t="inlineStr">
        <is>
          <t>bare (ref)</t>
        </is>
      </c>
      <c r="C4" s="57">
        <f>IFERROR(A_Bench!E5,"")</f>
        <v/>
      </c>
      <c r="D4" s="17">
        <f>IFERROR(A_Bench!F5,"")</f>
        <v/>
      </c>
      <c r="E4" s="17">
        <f>IFERROR(AVERAGE(A_Bench!G5:G5),"")</f>
        <v/>
      </c>
      <c r="F4" s="57">
        <f>IFERROR(MAX(A_Bench!H5:H5),"")</f>
        <v/>
      </c>
      <c r="G4" s="17">
        <f>IFERROR(AVERAGE(A_Bench!K5:K5),"")</f>
        <v/>
      </c>
      <c r="H4" s="60">
        <f>IFERROR(AVERAGE(A_Bench!R5:R5),"")</f>
        <v/>
      </c>
      <c r="I4" s="57">
        <f>IFERROR(A_Bench!S5,"")</f>
        <v/>
      </c>
      <c r="J4" s="16">
        <f>IFERROR(A_Bench!O5,"")</f>
        <v/>
      </c>
      <c r="K4" s="45" t="inlineStr">
        <is>
          <t>n/a</t>
        </is>
      </c>
      <c r="L4" s="67">
        <f>IFERROR(B_Angle!I7,"")</f>
        <v/>
      </c>
      <c r="M4" s="57">
        <f>IFERROR(MAX(C_Range!L4:L8),"")</f>
        <v/>
      </c>
      <c r="N4" s="16">
        <f>IF(F4="","",IF(F4&gt;0,"YES - REJECT","no"))</f>
        <v/>
      </c>
      <c r="O4" s="45" t="inlineStr">
        <is>
          <t>ref</t>
        </is>
      </c>
    </row>
    <row r="5">
      <c r="A5" s="25" t="inlineStr">
        <is>
          <t>Everlight</t>
        </is>
      </c>
      <c r="B5" s="26" t="inlineStr">
        <is>
          <t>bare (ref)</t>
        </is>
      </c>
      <c r="C5" s="53">
        <f>IFERROR(A_Bench!E6,"")</f>
        <v/>
      </c>
      <c r="D5" s="27">
        <f>IFERROR(A_Bench!F6,"")</f>
        <v/>
      </c>
      <c r="E5" s="27">
        <f>IFERROR(AVERAGE(A_Bench!G6:G6),"")</f>
        <v/>
      </c>
      <c r="F5" s="53">
        <f>IFERROR(MAX(A_Bench!H6:H6),"")</f>
        <v/>
      </c>
      <c r="G5" s="27">
        <f>IFERROR(AVERAGE(A_Bench!K6:K6),"")</f>
        <v/>
      </c>
      <c r="H5" s="64">
        <f>IFERROR(AVERAGE(A_Bench!R6:R6),"")</f>
        <v/>
      </c>
      <c r="I5" s="53">
        <f>IFERROR(A_Bench!S6,"")</f>
        <v/>
      </c>
      <c r="J5" s="26">
        <f>IFERROR(A_Bench!O6,"")</f>
        <v/>
      </c>
      <c r="K5" s="10" t="inlineStr">
        <is>
          <t>n/a</t>
        </is>
      </c>
      <c r="L5" s="68">
        <f>IFERROR(B_Angle!I12,"")</f>
        <v/>
      </c>
      <c r="M5" s="53">
        <f>IFERROR(MAX(C_Range!L9:L13),"")</f>
        <v/>
      </c>
      <c r="N5" s="26">
        <f>IF(F5="","",IF(F5&gt;0,"YES - REJECT","no"))</f>
        <v/>
      </c>
      <c r="O5" s="10" t="inlineStr">
        <is>
          <t>ref</t>
        </is>
      </c>
    </row>
    <row r="6">
      <c r="A6" s="25" t="inlineStr">
        <is>
          <t>XL</t>
        </is>
      </c>
      <c r="B6" s="26" t="inlineStr">
        <is>
          <t>bare (ref)</t>
        </is>
      </c>
      <c r="C6" s="53">
        <f>IFERROR(A_Bench!E7,"")</f>
        <v/>
      </c>
      <c r="D6" s="27">
        <f>IFERROR(A_Bench!F7,"")</f>
        <v/>
      </c>
      <c r="E6" s="27">
        <f>IFERROR(AVERAGE(A_Bench!G7:G7),"")</f>
        <v/>
      </c>
      <c r="F6" s="53">
        <f>IFERROR(MAX(A_Bench!H7:H7),"")</f>
        <v/>
      </c>
      <c r="G6" s="27">
        <f>IFERROR(AVERAGE(A_Bench!K7:K7),"")</f>
        <v/>
      </c>
      <c r="H6" s="64">
        <f>IFERROR(AVERAGE(A_Bench!R7:R7),"")</f>
        <v/>
      </c>
      <c r="I6" s="53">
        <f>IFERROR(A_Bench!S7,"")</f>
        <v/>
      </c>
      <c r="J6" s="26">
        <f>IFERROR(A_Bench!O7,"")</f>
        <v/>
      </c>
      <c r="K6" s="10" t="inlineStr">
        <is>
          <t>n/a</t>
        </is>
      </c>
      <c r="L6" s="68">
        <f>IFERROR(B_Angle!I17,"")</f>
        <v/>
      </c>
      <c r="M6" s="53">
        <f>IFERROR(MAX(C_Range!L14:L18),"")</f>
        <v/>
      </c>
      <c r="N6" s="26">
        <f>IF(F6="","",IF(F6&gt;0,"YES - REJECT","no"))</f>
        <v/>
      </c>
      <c r="O6" s="10" t="inlineStr">
        <is>
          <t>ref</t>
        </is>
      </c>
    </row>
    <row r="7">
      <c r="A7" s="25" t="inlineStr">
        <is>
          <t>Kingbright</t>
        </is>
      </c>
      <c r="B7" s="26" t="inlineStr">
        <is>
          <t>bare (ref)</t>
        </is>
      </c>
      <c r="C7" s="53">
        <f>IFERROR(A_Bench!E8,"")</f>
        <v/>
      </c>
      <c r="D7" s="27">
        <f>IFERROR(A_Bench!F8,"")</f>
        <v/>
      </c>
      <c r="E7" s="27">
        <f>IFERROR(AVERAGE(A_Bench!G8:G8),"")</f>
        <v/>
      </c>
      <c r="F7" s="53">
        <f>IFERROR(MAX(A_Bench!H8:H8),"")</f>
        <v/>
      </c>
      <c r="G7" s="27">
        <f>IFERROR(AVERAGE(A_Bench!K8:K8),"")</f>
        <v/>
      </c>
      <c r="H7" s="64">
        <f>IFERROR(AVERAGE(A_Bench!R8:R8),"")</f>
        <v/>
      </c>
      <c r="I7" s="53">
        <f>IFERROR(A_Bench!S8,"")</f>
        <v/>
      </c>
      <c r="J7" s="26">
        <f>IFERROR(A_Bench!O8,"")</f>
        <v/>
      </c>
      <c r="K7" s="10" t="inlineStr">
        <is>
          <t>n/a</t>
        </is>
      </c>
      <c r="L7" s="68">
        <f>IFERROR(B_Angle!I22,"")</f>
        <v/>
      </c>
      <c r="M7" s="53">
        <f>IFERROR(MAX(C_Range!L19:L23),"")</f>
        <v/>
      </c>
      <c r="N7" s="26">
        <f>IF(F7="","",IF(F7&gt;0,"YES - REJECT","no"))</f>
        <v/>
      </c>
      <c r="O7" s="10" t="inlineStr">
        <is>
          <t>ref</t>
        </is>
      </c>
    </row>
    <row r="8">
      <c r="A8" s="15" t="inlineStr">
        <is>
          <t>Vishay</t>
        </is>
      </c>
      <c r="B8" s="16" t="inlineStr">
        <is>
          <t>20 mm</t>
        </is>
      </c>
      <c r="C8" s="57">
        <f>IFERROR(A_Bench!E9,"")</f>
        <v/>
      </c>
      <c r="D8" s="17">
        <f>IFERROR(A_Bench!F9,"")</f>
        <v/>
      </c>
      <c r="E8" s="17">
        <f>IFERROR(AVERAGE(A_Bench!G9:G9),"")</f>
        <v/>
      </c>
      <c r="F8" s="57">
        <f>IFERROR(MAX(A_Bench!H9:H9),"")</f>
        <v/>
      </c>
      <c r="G8" s="17">
        <f>IFERROR(AVERAGE(A_Bench!K9:K9),"")</f>
        <v/>
      </c>
      <c r="H8" s="60">
        <f>IFERROR(AVERAGE(A_Bench!R9:R9),"")</f>
        <v/>
      </c>
      <c r="I8" s="57">
        <f>IFERROR(A_Bench!S9,"")</f>
        <v/>
      </c>
      <c r="J8" s="16">
        <f>IFERROR(A_Bench!O9,"")</f>
        <v/>
      </c>
      <c r="K8" s="40">
        <f>IF(COUNT(B_Angle!J68:J72)=0,"",MAX(B_Angle!J68:J72))</f>
        <v/>
      </c>
      <c r="L8" s="67">
        <f>IFERROR(B_Angle!I27,"")</f>
        <v/>
      </c>
      <c r="M8" s="57">
        <f>IFERROR(MAX(C_Range!L24:L28),"")</f>
        <v/>
      </c>
      <c r="N8" s="16">
        <f>IF(F8="","",IF(F8&gt;0,"YES - REJECT","no"))</f>
        <v/>
      </c>
      <c r="O8" s="17">
        <f>IFERROR(RANK(H8,$H$8:$H$15,1),"")</f>
        <v/>
      </c>
    </row>
    <row r="9">
      <c r="A9" s="25" t="inlineStr">
        <is>
          <t>Everlight</t>
        </is>
      </c>
      <c r="B9" s="26" t="inlineStr">
        <is>
          <t>20 mm</t>
        </is>
      </c>
      <c r="C9" s="53">
        <f>IFERROR(A_Bench!E10,"")</f>
        <v/>
      </c>
      <c r="D9" s="27">
        <f>IFERROR(A_Bench!F10,"")</f>
        <v/>
      </c>
      <c r="E9" s="27">
        <f>IFERROR(AVERAGE(A_Bench!G10:G10),"")</f>
        <v/>
      </c>
      <c r="F9" s="53">
        <f>IFERROR(MAX(A_Bench!H10:H10),"")</f>
        <v/>
      </c>
      <c r="G9" s="27">
        <f>IFERROR(AVERAGE(A_Bench!K10:K10),"")</f>
        <v/>
      </c>
      <c r="H9" s="64">
        <f>IFERROR(AVERAGE(A_Bench!R10:R10),"")</f>
        <v/>
      </c>
      <c r="I9" s="53">
        <f>IFERROR(A_Bench!S10,"")</f>
        <v/>
      </c>
      <c r="J9" s="26">
        <f>IFERROR(A_Bench!O10,"")</f>
        <v/>
      </c>
      <c r="K9" s="42">
        <f>IF(COUNT(B_Angle!J73:J77)=0,"",MAX(B_Angle!J73:J77))</f>
        <v/>
      </c>
      <c r="L9" s="68">
        <f>IFERROR(B_Angle!I32,"")</f>
        <v/>
      </c>
      <c r="M9" s="53">
        <f>IFERROR(MAX(C_Range!L29:L33),"")</f>
        <v/>
      </c>
      <c r="N9" s="26">
        <f>IF(F9="","",IF(F9&gt;0,"YES - REJECT","no"))</f>
        <v/>
      </c>
      <c r="O9" s="27">
        <f>IFERROR(RANK(H9,$H$8:$H$15,1),"")</f>
        <v/>
      </c>
    </row>
    <row r="10">
      <c r="A10" s="25" t="inlineStr">
        <is>
          <t>XL</t>
        </is>
      </c>
      <c r="B10" s="26" t="inlineStr">
        <is>
          <t>20 mm</t>
        </is>
      </c>
      <c r="C10" s="53">
        <f>IFERROR(A_Bench!E11,"")</f>
        <v/>
      </c>
      <c r="D10" s="27">
        <f>IFERROR(A_Bench!F11,"")</f>
        <v/>
      </c>
      <c r="E10" s="27">
        <f>IFERROR(AVERAGE(A_Bench!G11:G11),"")</f>
        <v/>
      </c>
      <c r="F10" s="53">
        <f>IFERROR(MAX(A_Bench!H11:H11),"")</f>
        <v/>
      </c>
      <c r="G10" s="27">
        <f>IFERROR(AVERAGE(A_Bench!K11:K11),"")</f>
        <v/>
      </c>
      <c r="H10" s="64">
        <f>IFERROR(AVERAGE(A_Bench!R11:R11),"")</f>
        <v/>
      </c>
      <c r="I10" s="53">
        <f>IFERROR(A_Bench!S11,"")</f>
        <v/>
      </c>
      <c r="J10" s="26">
        <f>IFERROR(A_Bench!O11,"")</f>
        <v/>
      </c>
      <c r="K10" s="42">
        <f>IF(COUNT(B_Angle!J78:J82)=0,"",MAX(B_Angle!J78:J82))</f>
        <v/>
      </c>
      <c r="L10" s="68">
        <f>IFERROR(B_Angle!I37,"")</f>
        <v/>
      </c>
      <c r="M10" s="53">
        <f>IFERROR(MAX(C_Range!L34:L38),"")</f>
        <v/>
      </c>
      <c r="N10" s="26">
        <f>IF(F10="","",IF(F10&gt;0,"YES - REJECT","no"))</f>
        <v/>
      </c>
      <c r="O10" s="27">
        <f>IFERROR(RANK(H10,$H$8:$H$15,1),"")</f>
        <v/>
      </c>
    </row>
    <row r="11">
      <c r="A11" s="25" t="inlineStr">
        <is>
          <t>Kingbright</t>
        </is>
      </c>
      <c r="B11" s="26" t="inlineStr">
        <is>
          <t>20 mm</t>
        </is>
      </c>
      <c r="C11" s="53">
        <f>IFERROR(A_Bench!E12,"")</f>
        <v/>
      </c>
      <c r="D11" s="27">
        <f>IFERROR(A_Bench!F12,"")</f>
        <v/>
      </c>
      <c r="E11" s="27">
        <f>IFERROR(AVERAGE(A_Bench!G12:G12),"")</f>
        <v/>
      </c>
      <c r="F11" s="53">
        <f>IFERROR(MAX(A_Bench!H12:H12),"")</f>
        <v/>
      </c>
      <c r="G11" s="27">
        <f>IFERROR(AVERAGE(A_Bench!K12:K12),"")</f>
        <v/>
      </c>
      <c r="H11" s="64">
        <f>IFERROR(AVERAGE(A_Bench!R12:R12),"")</f>
        <v/>
      </c>
      <c r="I11" s="53">
        <f>IFERROR(A_Bench!S12,"")</f>
        <v/>
      </c>
      <c r="J11" s="26">
        <f>IFERROR(A_Bench!O12,"")</f>
        <v/>
      </c>
      <c r="K11" s="42">
        <f>IF(COUNT(B_Angle!J83:J87)=0,"",MAX(B_Angle!J83:J87))</f>
        <v/>
      </c>
      <c r="L11" s="68">
        <f>IFERROR(B_Angle!I42,"")</f>
        <v/>
      </c>
      <c r="M11" s="53">
        <f>IFERROR(MAX(C_Range!L39:L43),"")</f>
        <v/>
      </c>
      <c r="N11" s="26">
        <f>IF(F11="","",IF(F11&gt;0,"YES - REJECT","no"))</f>
        <v/>
      </c>
      <c r="O11" s="27">
        <f>IFERROR(RANK(H11,$H$8:$H$15,1),"")</f>
        <v/>
      </c>
    </row>
    <row r="12">
      <c r="A12" s="15" t="inlineStr">
        <is>
          <t>Vishay</t>
        </is>
      </c>
      <c r="B12" s="16" t="inlineStr">
        <is>
          <t>25 mm</t>
        </is>
      </c>
      <c r="C12" s="57">
        <f>IFERROR(A_Bench!E13,"")</f>
        <v/>
      </c>
      <c r="D12" s="17">
        <f>IFERROR(A_Bench!F13,"")</f>
        <v/>
      </c>
      <c r="E12" s="17">
        <f>IFERROR(AVERAGE(A_Bench!G13:G13),"")</f>
        <v/>
      </c>
      <c r="F12" s="57">
        <f>IFERROR(MAX(A_Bench!H13:H13),"")</f>
        <v/>
      </c>
      <c r="G12" s="17">
        <f>IFERROR(AVERAGE(A_Bench!K13:K13),"")</f>
        <v/>
      </c>
      <c r="H12" s="60">
        <f>IFERROR(AVERAGE(A_Bench!R13:R13),"")</f>
        <v/>
      </c>
      <c r="I12" s="57">
        <f>IFERROR(A_Bench!S13,"")</f>
        <v/>
      </c>
      <c r="J12" s="16">
        <f>IFERROR(A_Bench!O13,"")</f>
        <v/>
      </c>
      <c r="K12" s="40">
        <f>IF(COUNT(B_Angle!J88:J92)=0,"",MAX(B_Angle!J88:J92))</f>
        <v/>
      </c>
      <c r="L12" s="67">
        <f>IFERROR(B_Angle!I47,"")</f>
        <v/>
      </c>
      <c r="M12" s="57">
        <f>IFERROR(MAX(C_Range!L44:L48),"")</f>
        <v/>
      </c>
      <c r="N12" s="16">
        <f>IF(F12="","",IF(F12&gt;0,"YES - REJECT","no"))</f>
        <v/>
      </c>
      <c r="O12" s="17">
        <f>IFERROR(RANK(H12,$H$8:$H$15,1),"")</f>
        <v/>
      </c>
    </row>
    <row r="13">
      <c r="A13" s="25" t="inlineStr">
        <is>
          <t>Everlight</t>
        </is>
      </c>
      <c r="B13" s="26" t="inlineStr">
        <is>
          <t>25 mm</t>
        </is>
      </c>
      <c r="C13" s="53">
        <f>IFERROR(A_Bench!E14,"")</f>
        <v/>
      </c>
      <c r="D13" s="27">
        <f>IFERROR(A_Bench!F14,"")</f>
        <v/>
      </c>
      <c r="E13" s="27">
        <f>IFERROR(AVERAGE(A_Bench!G14:G14),"")</f>
        <v/>
      </c>
      <c r="F13" s="53">
        <f>IFERROR(MAX(A_Bench!H14:H14),"")</f>
        <v/>
      </c>
      <c r="G13" s="27">
        <f>IFERROR(AVERAGE(A_Bench!K14:K14),"")</f>
        <v/>
      </c>
      <c r="H13" s="64">
        <f>IFERROR(AVERAGE(A_Bench!R14:R14),"")</f>
        <v/>
      </c>
      <c r="I13" s="53">
        <f>IFERROR(A_Bench!S14,"")</f>
        <v/>
      </c>
      <c r="J13" s="26">
        <f>IFERROR(A_Bench!O14,"")</f>
        <v/>
      </c>
      <c r="K13" s="42">
        <f>IF(COUNT(B_Angle!J93:J97)=0,"",MAX(B_Angle!J93:J97))</f>
        <v/>
      </c>
      <c r="L13" s="68">
        <f>IFERROR(B_Angle!I52,"")</f>
        <v/>
      </c>
      <c r="M13" s="53">
        <f>IFERROR(MAX(C_Range!L49:L53),"")</f>
        <v/>
      </c>
      <c r="N13" s="26">
        <f>IF(F13="","",IF(F13&gt;0,"YES - REJECT","no"))</f>
        <v/>
      </c>
      <c r="O13" s="27">
        <f>IFERROR(RANK(H13,$H$8:$H$15,1),"")</f>
        <v/>
      </c>
    </row>
    <row r="14">
      <c r="A14" s="25" t="inlineStr">
        <is>
          <t>XL</t>
        </is>
      </c>
      <c r="B14" s="26" t="inlineStr">
        <is>
          <t>25 mm</t>
        </is>
      </c>
      <c r="C14" s="53">
        <f>IFERROR(A_Bench!E15,"")</f>
        <v/>
      </c>
      <c r="D14" s="27">
        <f>IFERROR(A_Bench!F15,"")</f>
        <v/>
      </c>
      <c r="E14" s="27">
        <f>IFERROR(AVERAGE(A_Bench!G15:G15),"")</f>
        <v/>
      </c>
      <c r="F14" s="53">
        <f>IFERROR(MAX(A_Bench!H15:H15),"")</f>
        <v/>
      </c>
      <c r="G14" s="27">
        <f>IFERROR(AVERAGE(A_Bench!K15:K15),"")</f>
        <v/>
      </c>
      <c r="H14" s="64">
        <f>IFERROR(AVERAGE(A_Bench!R15:R15),"")</f>
        <v/>
      </c>
      <c r="I14" s="53">
        <f>IFERROR(A_Bench!S15,"")</f>
        <v/>
      </c>
      <c r="J14" s="26">
        <f>IFERROR(A_Bench!O15,"")</f>
        <v/>
      </c>
      <c r="K14" s="42">
        <f>IF(COUNT(B_Angle!J98:J102)=0,"",MAX(B_Angle!J98:J102))</f>
        <v/>
      </c>
      <c r="L14" s="68">
        <f>IFERROR(B_Angle!I57,"")</f>
        <v/>
      </c>
      <c r="M14" s="53">
        <f>IFERROR(MAX(C_Range!L54:L58),"")</f>
        <v/>
      </c>
      <c r="N14" s="26">
        <f>IF(F14="","",IF(F14&gt;0,"YES - REJECT","no"))</f>
        <v/>
      </c>
      <c r="O14" s="27">
        <f>IFERROR(RANK(H14,$H$8:$H$15,1),"")</f>
        <v/>
      </c>
    </row>
    <row r="15">
      <c r="A15" s="25" t="inlineStr">
        <is>
          <t>Kingbright</t>
        </is>
      </c>
      <c r="B15" s="26" t="inlineStr">
        <is>
          <t>25 mm</t>
        </is>
      </c>
      <c r="C15" s="53">
        <f>IFERROR(A_Bench!E16,"")</f>
        <v/>
      </c>
      <c r="D15" s="27">
        <f>IFERROR(A_Bench!F16,"")</f>
        <v/>
      </c>
      <c r="E15" s="27">
        <f>IFERROR(AVERAGE(A_Bench!G16:G16),"")</f>
        <v/>
      </c>
      <c r="F15" s="53">
        <f>IFERROR(MAX(A_Bench!H16:H16),"")</f>
        <v/>
      </c>
      <c r="G15" s="27">
        <f>IFERROR(AVERAGE(A_Bench!K16:K16),"")</f>
        <v/>
      </c>
      <c r="H15" s="64">
        <f>IFERROR(AVERAGE(A_Bench!R16:R16),"")</f>
        <v/>
      </c>
      <c r="I15" s="53">
        <f>IFERROR(A_Bench!S16,"")</f>
        <v/>
      </c>
      <c r="J15" s="26">
        <f>IFERROR(A_Bench!O16,"")</f>
        <v/>
      </c>
      <c r="K15" s="42">
        <f>IF(COUNT(B_Angle!J103:J107)=0,"",MAX(B_Angle!J103:J107))</f>
        <v/>
      </c>
      <c r="L15" s="68">
        <f>IFERROR(B_Angle!I62,"")</f>
        <v/>
      </c>
      <c r="M15" s="53">
        <f>IFERROR(MAX(C_Range!L59:L63),"")</f>
        <v/>
      </c>
      <c r="N15" s="26">
        <f>IF(F15="","",IF(F15&gt;0,"YES - REJECT","no"))</f>
        <v/>
      </c>
      <c r="O15" s="27">
        <f>IFERROR(RANK(H15,$H$8:$H$15,1),"")</f>
        <v/>
      </c>
    </row>
    <row r="17">
      <c r="A17" s="38" t="inlineStr">
        <is>
          <t>20 mm vs 25 mm, per LED type</t>
        </is>
      </c>
    </row>
    <row r="18" ht="30" customHeight="1">
      <c r="A18" s="8" t="inlineStr">
        <is>
          <t>LED Type</t>
        </is>
      </c>
      <c r="B18" s="8" t="inlineStr">
        <is>
          <t>sigma_RMS
20 mm</t>
        </is>
      </c>
      <c r="C18" s="8" t="inlineStr">
        <is>
          <t>sigma_RMS
25 mm</t>
        </is>
      </c>
      <c r="D18" s="8" t="inlineStr">
        <is>
          <t>Lower
sigma</t>
        </is>
      </c>
      <c r="E18" s="8" t="inlineStr">
        <is>
          <t>Blend
20 mm</t>
        </is>
      </c>
      <c r="F18" s="8" t="inlineStr">
        <is>
          <t>Blend
25 mm</t>
        </is>
      </c>
      <c r="G18" s="8" t="inlineStr">
        <is>
          <t>Roll bias
20 mm</t>
        </is>
      </c>
      <c r="H18" s="8" t="inlineStr">
        <is>
          <t>Roll bias
25 mm</t>
        </is>
      </c>
      <c r="I18" s="8" t="inlineStr">
        <is>
          <t>Lower
roll bias</t>
        </is>
      </c>
    </row>
    <row r="19">
      <c r="A19" s="25" t="inlineStr">
        <is>
          <t>Vishay</t>
        </is>
      </c>
      <c r="B19" s="64">
        <f>IF(H8="","",H8)</f>
        <v/>
      </c>
      <c r="C19" s="64">
        <f>IF(H12="","",H12)</f>
        <v/>
      </c>
      <c r="D19" s="26">
        <f>IF(OR(B19="",C19=""),"",IF(B19&lt;C19,"20 mm",IF(C19&lt;B19,"25 mm","tie")))</f>
        <v/>
      </c>
      <c r="E19" s="26">
        <f>IF(J8="","",J8)</f>
        <v/>
      </c>
      <c r="F19" s="26">
        <f>IF(J12="","",J12)</f>
        <v/>
      </c>
      <c r="G19" s="42">
        <f>IF(K8="","",K8)</f>
        <v/>
      </c>
      <c r="H19" s="42">
        <f>IF(K12="","",K12)</f>
        <v/>
      </c>
      <c r="I19" s="26">
        <f>IF(OR(G19="",H19=""),"",IF(G19&lt;H19,"20 mm",IF(H19&lt;G19,"25 mm","tie")))</f>
        <v/>
      </c>
    </row>
    <row r="20">
      <c r="A20" s="25" t="inlineStr">
        <is>
          <t>Everlight</t>
        </is>
      </c>
      <c r="B20" s="64">
        <f>IF(H9="","",H9)</f>
        <v/>
      </c>
      <c r="C20" s="64">
        <f>IF(H13="","",H13)</f>
        <v/>
      </c>
      <c r="D20" s="26">
        <f>IF(OR(B20="",C20=""),"",IF(B20&lt;C20,"20 mm",IF(C20&lt;B20,"25 mm","tie")))</f>
        <v/>
      </c>
      <c r="E20" s="26">
        <f>IF(J9="","",J9)</f>
        <v/>
      </c>
      <c r="F20" s="26">
        <f>IF(J13="","",J13)</f>
        <v/>
      </c>
      <c r="G20" s="42">
        <f>IF(K9="","",K9)</f>
        <v/>
      </c>
      <c r="H20" s="42">
        <f>IF(K13="","",K13)</f>
        <v/>
      </c>
      <c r="I20" s="26">
        <f>IF(OR(G20="",H20=""),"",IF(G20&lt;H20,"20 mm",IF(H20&lt;G20,"25 mm","tie")))</f>
        <v/>
      </c>
    </row>
    <row r="21">
      <c r="A21" s="25" t="inlineStr">
        <is>
          <t>XL</t>
        </is>
      </c>
      <c r="B21" s="64">
        <f>IF(H10="","",H10)</f>
        <v/>
      </c>
      <c r="C21" s="64">
        <f>IF(H14="","",H14)</f>
        <v/>
      </c>
      <c r="D21" s="26">
        <f>IF(OR(B21="",C21=""),"",IF(B21&lt;C21,"20 mm",IF(C21&lt;B21,"25 mm","tie")))</f>
        <v/>
      </c>
      <c r="E21" s="26">
        <f>IF(J10="","",J10)</f>
        <v/>
      </c>
      <c r="F21" s="26">
        <f>IF(J14="","",J14)</f>
        <v/>
      </c>
      <c r="G21" s="42">
        <f>IF(K10="","",K10)</f>
        <v/>
      </c>
      <c r="H21" s="42">
        <f>IF(K14="","",K14)</f>
        <v/>
      </c>
      <c r="I21" s="26">
        <f>IF(OR(G21="",H21=""),"",IF(G21&lt;H21,"20 mm",IF(H21&lt;G21,"25 mm","tie")))</f>
        <v/>
      </c>
    </row>
    <row r="22">
      <c r="A22" s="25" t="inlineStr">
        <is>
          <t>Kingbright</t>
        </is>
      </c>
      <c r="B22" s="64">
        <f>IF(H11="","",H11)</f>
        <v/>
      </c>
      <c r="C22" s="64">
        <f>IF(H15="","",H15)</f>
        <v/>
      </c>
      <c r="D22" s="26">
        <f>IF(OR(B22="",C22=""),"",IF(B22&lt;C22,"20 mm",IF(C22&lt;B22,"25 mm","tie")))</f>
        <v/>
      </c>
      <c r="E22" s="26">
        <f>IF(J11="","",J11)</f>
        <v/>
      </c>
      <c r="F22" s="26">
        <f>IF(J15="","",J15)</f>
        <v/>
      </c>
      <c r="G22" s="42">
        <f>IF(K11="","",K11)</f>
        <v/>
      </c>
      <c r="H22" s="42">
        <f>IF(K15="","",K15)</f>
        <v/>
      </c>
      <c r="I22" s="26">
        <f>IF(OR(G22="",H22=""),"",IF(G22&lt;H22,"20 mm",IF(H22&lt;G22,"25 mm","tie")))</f>
        <v/>
      </c>
    </row>
    <row r="24">
      <c r="A24" s="38" t="inlineStr">
        <is>
          <t>HOW TO READ THIS</t>
        </is>
      </c>
    </row>
    <row r="25">
      <c r="A25" s="46" t="inlineStr">
        <is>
          <t>PEAK is the controlled variable, not exposure and not current. Land every row at peak 200-230 and record the exposure it took. Exposure legitimately changes with angle, range and diffuser - that is why it is a result here, not a constant.</t>
        </is>
      </c>
    </row>
    <row r="26">
      <c r="A26" s="46" t="inlineStr">
        <is>
          <t>Column 'Next exposure' does the targeting for you: peak is linear in exposure while unclipped, and this sensor quantises exposure to ~21.3 us steps (one row time, floor ~21 us). Two iterations lands the band.</t>
        </is>
      </c>
    </row>
    <row r="27">
      <c r="A27" s="46" t="inlineStr">
        <is>
          <t>Current is set by the series resistor on each board and differs by part (Vishay 78.8 mA, Everlight and Kingbright 38.2 mA, XL 21.7 mA). It is a property of the build, not something to equalise at the bench. If a build clips at the exposure floor, add series resistance or test at the real range.</t>
        </is>
      </c>
    </row>
    <row r="28">
      <c r="A28" s="46" t="inlineStr">
        <is>
          <t>Blend gate first: blobs must be 1 and w/h near 1.00. Four LEDs that have not merged read as several blobs, and every measurement mode silently takes the largest - a split marker reports an excellent sigma while tracking a quarter of itself.</t>
        </is>
      </c>
    </row>
    <row r="29">
      <c r="A29" s="46" t="inlineStr">
        <is>
          <t>sig_v/sig_u above ~3 means the noise is not isotropic, which is a systematic, not sensor noise. Every such row so far was also saturated and small - unsaturate it and re-measure before blaming the LED.</t>
        </is>
      </c>
    </row>
    <row r="30">
      <c r="A30" s="46" t="inlineStr">
        <is>
          <t>Roll bias: rolling a well-blended marker about its own axis must not move the centroid. Bias does not average out the way noise does, and the EKF cannot see it - it tracks a wrong position with a confident covariance.</t>
        </is>
      </c>
    </row>
    <row r="31">
      <c r="A31" s="46" t="inlineStr">
        <is>
          <t>RANK is on sigma_RMS mean, over the 8 marker builds only. Then check the gates: Saturating? = 'no', max range covers your operating distance, area kept at 45 deg is enough at your worst viewing angle.</t>
        </is>
      </c>
    </row>
    <row r="32">
      <c r="A32" s="46" t="inlineStr">
        <is>
          <t>Area is not a marker property - it is the count of pixels above THRESH_LO, so it falls with peak. Only compare areas between rows measured at the same peak. Sensor area below ~350 px is where sigma fell apart in the first run.</t>
        </is>
      </c>
    </row>
    <row r="33">
      <c r="A33" s="46" t="inlineStr">
        <is>
          <t>The bare rows are a reference, never a candidate: they attribute a bad marker to the LED rather than the build, and they price the diffuser - exposure bare vs diffused is the light the blend cost you.</t>
        </is>
      </c>
    </row>
    <row r="34">
      <c r="A34" s="46" t="inlineStr">
        <is>
          <t>If both diameters pass every gate and their sigmas are within a few percent, take the 20 mm: smaller marker, less occlusion, closer packing on the rig.</t>
        </is>
      </c>
    </row>
    <row r="35">
      <c r="A35" s="46" t="inlineStr">
        <is>
          <t>The winning sigma_RMS goes into CENTROID_SIGMA in kalmanFilter.py, with that same row's npix as AREA_NOMINAL_SENSOR. Both must come from one row - the diffuser changes both.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2026-08-27T15:11:57Z</dcterms:created>
  <dcterms:modified xsi:type="dcterms:W3CDTF">2026-09-04T07:23:11Z</dcterms:modified>
  <cp:lastModifiedBy>Shannon Pitman</cp:lastModifiedBy>
</cp:coreProperties>
</file>