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840" yWindow="660" windowWidth="13560" windowHeight="17220" tabRatio="600" firstSheet="0" activeTab="4" autoFilterDateGrouping="1"/>
  </bookViews>
  <sheets>
    <sheet name="Protocol" sheetId="1" state="visible" r:id="rId1"/>
    <sheet name="A_Bench" sheetId="2" state="visible" r:id="rId2"/>
    <sheet name="B_Angle" sheetId="3" state="visible" r:id="rId3"/>
    <sheet name="C_Range" sheetId="4" state="visible" r:id="rId4"/>
    <sheet name="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0.0"/>
    <numFmt numFmtId="167" formatCode="0.000"/>
    <numFmt numFmtId="168" formatCode="yyyy-mm-dd h:mm:ss"/>
  </numFmts>
  <fonts count="24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i val="1"/>
      <color rgb="FF595959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Arial"/>
      <family val="2"/>
      <i val="1"/>
      <color rgb="FF595959"/>
      <sz val="9"/>
    </font>
    <font>
      <name val="Arial"/>
      <family val="2"/>
      <b val="1"/>
      <sz val="14"/>
    </font>
    <font>
      <name val="Arial"/>
      <family val="2"/>
      <b val="1"/>
      <color rgb="FFFFFFFF"/>
      <sz val="11"/>
    </font>
    <font>
      <name val="Arial"/>
      <family val="2"/>
      <color rgb="FF808080"/>
      <sz val="10"/>
    </font>
    <font>
      <name val="Arial"/>
      <family val="2"/>
      <i val="1"/>
      <color rgb="FF808080"/>
      <sz val="10"/>
    </font>
    <font>
      <name val="Arial"/>
      <b val="1"/>
      <sz val="14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color rgb="FF808080"/>
      <sz val="10"/>
    </font>
    <font>
      <name val="Arial"/>
      <sz val="10"/>
    </font>
    <font>
      <name val="Arial"/>
      <color rgb="FF0000FF"/>
      <sz val="10"/>
    </font>
    <font>
      <name val="Arial"/>
      <color rgb="FFC00000"/>
      <sz val="10"/>
    </font>
    <font>
      <name val="Arial"/>
      <b val="1"/>
      <sz val="10"/>
    </font>
    <font>
      <name val="Arial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F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808080"/>
      </top>
      <bottom style="thin">
        <color rgb="FF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3" fillId="3" borderId="1" pivotButton="0" quotePrefix="0" xfId="0"/>
    <xf numFmtId="0" fontId="4" fillId="0" borderId="1" pivotButton="0" quotePrefix="0" xfId="0"/>
    <xf numFmtId="0" fontId="6" fillId="4" borderId="1" pivotButton="0" quotePrefix="0" xfId="0"/>
    <xf numFmtId="15" fontId="6" fillId="4" borderId="1" pivotButton="0" quotePrefix="0" xfId="0"/>
    <xf numFmtId="0" fontId="8" fillId="0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9" fillId="4" borderId="2" applyAlignment="1" pivotButton="0" quotePrefix="0" xfId="0">
      <alignment horizontal="center"/>
    </xf>
    <xf numFmtId="0" fontId="12" fillId="2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/>
    </xf>
    <xf numFmtId="1" fontId="9" fillId="4" borderId="2" applyAlignment="1" pivotButton="0" quotePrefix="0" xfId="0">
      <alignment horizontal="center"/>
    </xf>
    <xf numFmtId="164" fontId="9" fillId="4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9" fillId="0" borderId="2" pivotButton="0" quotePrefix="0" xfId="0"/>
    <xf numFmtId="165" fontId="8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13" fillId="0" borderId="2" pivotButton="0" quotePrefix="0" xfId="0"/>
    <xf numFmtId="1" fontId="13" fillId="0" borderId="2" applyAlignment="1" pivotButton="0" quotePrefix="0" xfId="0">
      <alignment horizontal="center"/>
    </xf>
    <xf numFmtId="164" fontId="13" fillId="0" borderId="2" applyAlignment="1" pivotButton="0" quotePrefix="0" xfId="0">
      <alignment horizontal="center"/>
    </xf>
    <xf numFmtId="0" fontId="8" fillId="0" borderId="3" pivotButton="0" quotePrefix="0" xfId="0"/>
    <xf numFmtId="0" fontId="8" fillId="0" borderId="3" applyAlignment="1" pivotButton="0" quotePrefix="0" xfId="0">
      <alignment horizontal="center"/>
    </xf>
    <xf numFmtId="1" fontId="8" fillId="0" borderId="3" applyAlignment="1" pivotButton="0" quotePrefix="0" xfId="0">
      <alignment horizontal="center"/>
    </xf>
    <xf numFmtId="1" fontId="9" fillId="4" borderId="3" applyAlignment="1" pivotButton="0" quotePrefix="0" xfId="0">
      <alignment horizontal="center"/>
    </xf>
    <xf numFmtId="164" fontId="9" fillId="4" borderId="3" applyAlignment="1" pivotButton="0" quotePrefix="0" xfId="0">
      <alignment horizontal="center"/>
    </xf>
    <xf numFmtId="164" fontId="8" fillId="0" borderId="3" applyAlignment="1" pivotButton="0" quotePrefix="0" xfId="0">
      <alignment horizontal="center"/>
    </xf>
    <xf numFmtId="0" fontId="9" fillId="0" borderId="3" pivotButton="0" quotePrefix="0" xfId="0"/>
    <xf numFmtId="165" fontId="8" fillId="0" borderId="3" applyAlignment="1" pivotButton="0" quotePrefix="0" xfId="0">
      <alignment horizontal="center"/>
    </xf>
    <xf numFmtId="166" fontId="8" fillId="0" borderId="3" applyAlignment="1" pivotButton="0" quotePrefix="0" xfId="0">
      <alignment horizontal="center"/>
    </xf>
    <xf numFmtId="0" fontId="9" fillId="4" borderId="3" applyAlignment="1" pivotButton="0" quotePrefix="0" xfId="0">
      <alignment horizontal="center"/>
    </xf>
    <xf numFmtId="166" fontId="8" fillId="0" borderId="2" applyAlignment="1" pivotButton="0" quotePrefix="0" xfId="0">
      <alignment horizontal="center"/>
    </xf>
    <xf numFmtId="0" fontId="12" fillId="2" borderId="0" pivotButton="0" quotePrefix="0" xfId="0"/>
    <xf numFmtId="0" fontId="7" fillId="3" borderId="2" pivotButton="0" quotePrefix="0" xfId="0"/>
    <xf numFmtId="0" fontId="14" fillId="0" borderId="2" pivotButton="0" quotePrefix="0" xfId="0"/>
    <xf numFmtId="0" fontId="13" fillId="0" borderId="2" applyAlignment="1" pivotButton="0" quotePrefix="0" xfId="0">
      <alignment horizontal="center"/>
    </xf>
    <xf numFmtId="2" fontId="13" fillId="0" borderId="2" applyAlignment="1" pivotButton="0" quotePrefix="0" xfId="0">
      <alignment horizontal="center"/>
    </xf>
    <xf numFmtId="2" fontId="9" fillId="4" borderId="3" applyAlignment="1" pivotButton="0" quotePrefix="0" xfId="0">
      <alignment horizontal="center"/>
    </xf>
    <xf numFmtId="2" fontId="9" fillId="4" borderId="2" applyAlignment="1" pivotButton="0" quotePrefix="0" xfId="0">
      <alignment horizontal="center"/>
    </xf>
    <xf numFmtId="167" fontId="9" fillId="4" borderId="3" applyAlignment="1" pivotButton="0" quotePrefix="0" xfId="0">
      <alignment horizontal="center"/>
    </xf>
    <xf numFmtId="167" fontId="8" fillId="0" borderId="3" applyAlignment="1" pivotButton="0" quotePrefix="0" xfId="0">
      <alignment horizontal="center"/>
    </xf>
    <xf numFmtId="167" fontId="9" fillId="4" borderId="2" applyAlignment="1" pivotButton="0" quotePrefix="0" xfId="0">
      <alignment horizontal="center"/>
    </xf>
    <xf numFmtId="167" fontId="8" fillId="0" borderId="2" applyAlignment="1" pivotButton="0" quotePrefix="0" xfId="0">
      <alignment horizontal="center"/>
    </xf>
    <xf numFmtId="0" fontId="13" fillId="0" borderId="3" applyAlignment="1" pivotButton="0" quotePrefix="0" xfId="0">
      <alignment horizontal="center"/>
    </xf>
    <xf numFmtId="0" fontId="6" fillId="0" borderId="2" pivotButton="0" quotePrefix="0" xfId="0"/>
    <xf numFmtId="0" fontId="6" fillId="0" borderId="3" pivotButton="0" quotePrefix="0" xfId="0"/>
    <xf numFmtId="2" fontId="6" fillId="4" borderId="2" applyAlignment="1" pivotButton="0" quotePrefix="0" xfId="0">
      <alignment horizontal="center"/>
    </xf>
    <xf numFmtId="1" fontId="6" fillId="4" borderId="2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7" fillId="2" borderId="4" applyAlignment="1" pivotButton="0" quotePrefix="0" xfId="0">
      <alignment horizontal="center" vertical="center" wrapText="1"/>
    </xf>
    <xf numFmtId="0" fontId="18" fillId="0" borderId="4" pivotButton="0" quotePrefix="0" xfId="0"/>
    <xf numFmtId="0" fontId="18" fillId="0" borderId="4" applyAlignment="1" pivotButton="0" quotePrefix="0" xfId="0">
      <alignment horizontal="center"/>
    </xf>
    <xf numFmtId="1" fontId="18" fillId="0" borderId="4" applyAlignment="1" pivotButton="0" quotePrefix="0" xfId="0">
      <alignment horizontal="center"/>
    </xf>
    <xf numFmtId="166" fontId="18" fillId="0" borderId="4" applyAlignment="1" pivotButton="0" quotePrefix="0" xfId="0">
      <alignment horizontal="center"/>
    </xf>
    <xf numFmtId="2" fontId="18" fillId="0" borderId="4" applyAlignment="1" pivotButton="0" quotePrefix="0" xfId="0">
      <alignment horizontal="center"/>
    </xf>
    <xf numFmtId="164" fontId="18" fillId="0" borderId="4" applyAlignment="1" pivotButton="0" quotePrefix="0" xfId="0">
      <alignment horizontal="center"/>
    </xf>
    <xf numFmtId="0" fontId="19" fillId="0" borderId="5" pivotButton="0" quotePrefix="0" xfId="0"/>
    <xf numFmtId="0" fontId="19" fillId="0" borderId="5" applyAlignment="1" pivotButton="0" quotePrefix="0" xfId="0">
      <alignment horizontal="center"/>
    </xf>
    <xf numFmtId="1" fontId="19" fillId="0" borderId="5" applyAlignment="1" pivotButton="0" quotePrefix="0" xfId="0">
      <alignment horizontal="center"/>
    </xf>
    <xf numFmtId="166" fontId="19" fillId="0" borderId="5" applyAlignment="1" pivotButton="0" quotePrefix="0" xfId="0">
      <alignment horizontal="center"/>
    </xf>
    <xf numFmtId="1" fontId="20" fillId="4" borderId="5" applyAlignment="1" pivotButton="0" quotePrefix="0" xfId="0">
      <alignment horizontal="center"/>
    </xf>
    <xf numFmtId="166" fontId="20" fillId="4" borderId="5" applyAlignment="1" pivotButton="0" quotePrefix="0" xfId="0">
      <alignment horizontal="center"/>
    </xf>
    <xf numFmtId="2" fontId="20" fillId="4" borderId="5" applyAlignment="1" pivotButton="0" quotePrefix="0" xfId="0">
      <alignment horizontal="center"/>
    </xf>
    <xf numFmtId="164" fontId="20" fillId="4" borderId="5" applyAlignment="1" pivotButton="0" quotePrefix="0" xfId="0">
      <alignment horizontal="center"/>
    </xf>
    <xf numFmtId="164" fontId="19" fillId="0" borderId="5" applyAlignment="1" pivotButton="0" quotePrefix="0" xfId="0">
      <alignment horizontal="center"/>
    </xf>
    <xf numFmtId="0" fontId="20" fillId="0" borderId="5" pivotButton="0" quotePrefix="0" xfId="0"/>
    <xf numFmtId="0" fontId="19" fillId="0" borderId="4" pivotButton="0" quotePrefix="0" xfId="0"/>
    <xf numFmtId="0" fontId="19" fillId="0" borderId="4" applyAlignment="1" pivotButton="0" quotePrefix="0" xfId="0">
      <alignment horizontal="center"/>
    </xf>
    <xf numFmtId="1" fontId="19" fillId="0" borderId="4" applyAlignment="1" pivotButton="0" quotePrefix="0" xfId="0">
      <alignment horizontal="center"/>
    </xf>
    <xf numFmtId="166" fontId="19" fillId="0" borderId="4" applyAlignment="1" pivotButton="0" quotePrefix="0" xfId="0">
      <alignment horizontal="center"/>
    </xf>
    <xf numFmtId="1" fontId="20" fillId="4" borderId="4" applyAlignment="1" pivotButton="0" quotePrefix="0" xfId="0">
      <alignment horizontal="center"/>
    </xf>
    <xf numFmtId="166" fontId="20" fillId="4" borderId="4" applyAlignment="1" pivotButton="0" quotePrefix="0" xfId="0">
      <alignment horizontal="center"/>
    </xf>
    <xf numFmtId="2" fontId="20" fillId="4" borderId="4" applyAlignment="1" pivotButton="0" quotePrefix="0" xfId="0">
      <alignment horizontal="center"/>
    </xf>
    <xf numFmtId="164" fontId="20" fillId="4" borderId="4" applyAlignment="1" pivotButton="0" quotePrefix="0" xfId="0">
      <alignment horizontal="center"/>
    </xf>
    <xf numFmtId="164" fontId="19" fillId="0" borderId="4" applyAlignment="1" pivotButton="0" quotePrefix="0" xfId="0">
      <alignment horizontal="center"/>
    </xf>
    <xf numFmtId="0" fontId="20" fillId="0" borderId="4" pivotButton="0" quotePrefix="0" xfId="0"/>
    <xf numFmtId="0" fontId="21" fillId="0" borderId="4" pivotButton="0" quotePrefix="0" xfId="0"/>
    <xf numFmtId="165" fontId="19" fillId="0" borderId="5" applyAlignment="1" pivotButton="0" quotePrefix="0" xfId="0">
      <alignment horizontal="center"/>
    </xf>
    <xf numFmtId="165" fontId="19" fillId="0" borderId="4" applyAlignment="1" pivotButton="0" quotePrefix="0" xfId="0">
      <alignment horizontal="center"/>
    </xf>
    <xf numFmtId="0" fontId="17" fillId="2" borderId="0" pivotButton="0" quotePrefix="0" xfId="0"/>
    <xf numFmtId="167" fontId="20" fillId="4" borderId="5" applyAlignment="1" pivotButton="0" quotePrefix="0" xfId="0">
      <alignment horizontal="center"/>
    </xf>
    <xf numFmtId="167" fontId="19" fillId="0" borderId="5" applyAlignment="1" pivotButton="0" quotePrefix="0" xfId="0">
      <alignment horizontal="center"/>
    </xf>
    <xf numFmtId="167" fontId="20" fillId="4" borderId="4" applyAlignment="1" pivotButton="0" quotePrefix="0" xfId="0">
      <alignment horizontal="center"/>
    </xf>
    <xf numFmtId="167" fontId="19" fillId="0" borderId="4" applyAlignment="1" pivotButton="0" quotePrefix="0" xfId="0">
      <alignment horizontal="center"/>
    </xf>
    <xf numFmtId="0" fontId="20" fillId="4" borderId="5" applyAlignment="1" pivotButton="0" quotePrefix="0" xfId="0">
      <alignment horizontal="center"/>
    </xf>
    <xf numFmtId="0" fontId="20" fillId="4" borderId="4" applyAlignment="1" pivotButton="0" quotePrefix="0" xfId="0">
      <alignment horizontal="center"/>
    </xf>
    <xf numFmtId="0" fontId="18" fillId="0" borderId="5" applyAlignment="1" pivotButton="0" quotePrefix="0" xfId="0">
      <alignment horizontal="center"/>
    </xf>
    <xf numFmtId="0" fontId="19" fillId="0" borderId="0" pivotButton="0" quotePrefix="0" xfId="0"/>
    <xf numFmtId="0" fontId="22" fillId="3" borderId="4" pivotButton="0" quotePrefix="0" xfId="0"/>
    <xf numFmtId="15" fontId="20" fillId="4" borderId="4" pivotButton="0" quotePrefix="0" xfId="0"/>
    <xf numFmtId="0" fontId="20" fillId="4" borderId="4" pivotButton="0" quotePrefix="0" xfId="0"/>
    <xf numFmtId="0" fontId="22" fillId="0" borderId="0" pivotButton="0" quotePrefix="0" xfId="0"/>
    <xf numFmtId="0" fontId="23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M69"/>
  <sheetViews>
    <sheetView showGridLines="0" topLeftCell="A6" workbookViewId="0">
      <selection activeCell="D19" sqref="D19"/>
    </sheetView>
  </sheetViews>
  <sheetFormatPr baseColWidth="10" defaultColWidth="8.83203125" defaultRowHeight="15"/>
  <cols>
    <col width="34" customWidth="1" min="1" max="1"/>
    <col width="36" bestFit="1" customWidth="1" min="2" max="2"/>
    <col width="58" customWidth="1" min="3" max="3"/>
    <col width="11" customWidth="1" min="4" max="8"/>
  </cols>
  <sheetData>
    <row r="1" ht="18" customHeight="1">
      <c r="A1" s="1" t="inlineStr">
        <is>
          <t>LED Characterisation - Test Protocol</t>
        </is>
      </c>
    </row>
    <row r="2">
      <c r="A2" s="11" t="inlineStr">
        <is>
          <t>Four LED types x three builds: bare LED (reference), 20 mm diffuser, 25 mm diffuser. Each diffused marker holds FOUR LEDs of the same type. Find the build with the lowest centroid noise.</t>
        </is>
      </c>
    </row>
    <row r="4">
      <c r="A4" s="3" t="inlineStr">
        <is>
          <t>LEGEND</t>
        </is>
      </c>
    </row>
    <row r="5">
      <c r="A5" s="13" t="inlineStr">
        <is>
          <t>Yellow fill = fill in while testing.   Black = calculated.   Bare rows are a reference only - they are not a marker and are not ranked.</t>
        </is>
      </c>
    </row>
    <row r="7">
      <c r="A7" s="86" t="inlineStr">
        <is>
          <t>HOLD THESE CONSTANT FOR EVERY MEASUREMENT</t>
        </is>
      </c>
    </row>
    <row r="8">
      <c r="A8" s="95" t="inlineStr">
        <is>
          <t>Parameter</t>
        </is>
      </c>
      <c r="B8" s="95" t="inlineStr">
        <is>
          <t>Value</t>
        </is>
      </c>
      <c r="C8" s="95" t="inlineStr">
        <is>
          <t>Note</t>
        </is>
      </c>
    </row>
    <row r="9">
      <c r="A9" s="73" t="inlineStr">
        <is>
          <t>Date</t>
        </is>
      </c>
      <c r="B9" s="96" t="n">
        <v>46262</v>
      </c>
      <c r="C9" s="55" t="inlineStr"/>
    </row>
    <row r="10">
      <c r="A10" s="73" t="inlineStr">
        <is>
          <t>Supply voltage (V)</t>
        </is>
      </c>
      <c r="B10" s="97" t="n">
        <v>9</v>
      </c>
      <c r="C10" s="55" t="inlineStr">
        <is>
          <t>one 9 V rail for every board: 4 LEDs in series + the series resistor</t>
        </is>
      </c>
    </row>
    <row r="11">
      <c r="A11" s="73" t="inlineStr">
        <is>
          <t>Drive current (mA)</t>
        </is>
      </c>
      <c r="B11" s="73" t="inlineStr">
        <is>
          <t>set by the board resistor</t>
        </is>
      </c>
      <c r="C11" s="55" t="inlineStr">
        <is>
          <t>differs per part BY DESIGN - see the parts table below. Not a bench knob</t>
        </is>
      </c>
    </row>
    <row r="12">
      <c r="A12" s="73" t="inlineStr">
        <is>
          <t>EXPOSURE_US</t>
        </is>
      </c>
      <c r="B12" s="73" t="inlineStr">
        <is>
          <t>varies per row</t>
        </is>
      </c>
      <c r="C12" s="55" t="inlineStr">
        <is>
          <t>a RESULT, not a constant. Quantised to ~21.3 us (one sensor row time), floor ~21 us</t>
        </is>
      </c>
    </row>
    <row r="13">
      <c r="A13" s="73" t="inlineStr">
        <is>
          <t>Target peak</t>
        </is>
      </c>
      <c r="B13" s="73" t="inlineStr">
        <is>
          <t>200 - 230</t>
        </is>
      </c>
      <c r="C13" s="55" t="inlineStr">
        <is>
          <t>THE controlled variable. Land EVERY row in this band before believing its sigma</t>
        </is>
      </c>
    </row>
    <row r="14">
      <c r="A14" s="73" t="inlineStr">
        <is>
          <t>GAIN_DB</t>
        </is>
      </c>
      <c r="B14" s="97" t="n">
        <v>0</v>
      </c>
      <c r="C14" s="55" t="inlineStr">
        <is>
          <t>keep at 0</t>
        </is>
      </c>
    </row>
    <row r="15">
      <c r="A15" s="73" t="inlineStr">
        <is>
          <t>THRESH_LO</t>
        </is>
      </c>
      <c r="B15" s="97" t="n">
        <v>80</v>
      </c>
      <c r="C15" s="55" t="inlineStr">
        <is>
          <t>same for all tests</t>
        </is>
      </c>
    </row>
    <row r="16">
      <c r="A16" s="73" t="inlineStr">
        <is>
          <t>REFINE_FLOOR</t>
        </is>
      </c>
      <c r="B16" s="97" t="n">
        <v>50</v>
      </c>
      <c r="C16" s="55" t="inlineStr">
        <is>
          <t>same for all tests</t>
        </is>
      </c>
    </row>
    <row r="17">
      <c r="A17" s="73" t="inlineStr">
        <is>
          <t>Framesize / readout</t>
        </is>
      </c>
      <c r="B17" s="97" t="inlineStr">
        <is>
          <t>QVGA, 320×240, readout 320×240 -&gt; Ratio 1:1</t>
        </is>
      </c>
      <c r="C17" s="55" t="inlineStr">
        <is>
          <t>ratio must be 1:1</t>
        </is>
      </c>
    </row>
    <row r="18">
      <c r="A18" s="73" t="inlineStr">
        <is>
          <t>Test A distance (m)</t>
        </is>
      </c>
      <c r="B18" s="97" t="n">
        <v>4</v>
      </c>
      <c r="C18" s="55" t="inlineStr">
        <is>
          <t>far end of the flight space - where the builds differ most. Test B uses the same distance</t>
        </is>
      </c>
    </row>
    <row r="19">
      <c r="A19" s="73" t="inlineStr">
        <is>
          <t>Near limit, 0 deg (m)</t>
        </is>
      </c>
      <c r="B19" s="97" t="n">
        <v>2</v>
      </c>
      <c r="C19" s="55" t="inlineStr">
        <is>
          <t>closest a marker ever gets to a camera, square-on. Sets the exposure CEILING</t>
        </is>
      </c>
    </row>
    <row r="20">
      <c r="A20" s="73" t="inlineStr">
        <is>
          <t>Ambient light</t>
        </is>
      </c>
      <c r="B20" s="97" t="inlineStr">
        <is>
          <t>lights off, ambient light from window</t>
        </is>
      </c>
      <c r="C20" s="55" t="inlineStr">
        <is>
          <t>e.g. blinds closed, lights off</t>
        </is>
      </c>
    </row>
    <row r="21">
      <c r="A21" s="73" t="inlineStr">
        <is>
          <t>Camera / lens</t>
        </is>
      </c>
      <c r="B21" s="97" t="inlineStr">
        <is>
          <t>VL filter installend OpenMV RT1062</t>
        </is>
      </c>
      <c r="C21" s="55" t="inlineStr">
        <is>
          <t>must not change between tests</t>
        </is>
      </c>
    </row>
    <row r="22">
      <c r="A22" s="73" t="inlineStr">
        <is>
          <t>Build</t>
        </is>
      </c>
      <c r="B22" s="73" t="inlineStr">
        <is>
          <t>bare (ref) / 20 mm / 25 mm</t>
        </is>
      </c>
      <c r="C22" s="55" t="inlineStr">
        <is>
          <t>bare = ONE LED, reference only. Each diffuser holds FOUR LEDs</t>
        </is>
      </c>
    </row>
    <row r="24">
      <c r="A24" s="86" t="inlineStr">
        <is>
          <t>BOARDS AND DRIVE CURRENT   (from IR_LED_Parts_Calculator, 9 V, 4 in series, Vf 1.6 V each)</t>
        </is>
      </c>
    </row>
    <row r="25">
      <c r="A25" s="95" t="inlineStr">
        <is>
          <t>Build</t>
        </is>
      </c>
      <c r="B25" s="95" t="inlineStr">
        <is>
          <t>Part</t>
        </is>
      </c>
      <c r="C25" s="95" t="inlineStr">
        <is>
          <t>R series (E12)</t>
        </is>
      </c>
      <c r="D25" s="95" t="inlineStr">
        <is>
          <t>I actual (mA)</t>
        </is>
      </c>
    </row>
    <row r="26">
      <c r="A26" s="73" t="inlineStr">
        <is>
          <t>Vishay</t>
        </is>
      </c>
      <c r="B26" s="73" t="inlineStr">
        <is>
          <t>VSMY2850GX01</t>
        </is>
      </c>
      <c r="C26" s="75" t="n">
        <v>33</v>
      </c>
      <c r="D26" s="76" t="n">
        <v>78.8</v>
      </c>
    </row>
    <row r="27">
      <c r="A27" s="73" t="inlineStr">
        <is>
          <t>Everlight</t>
        </is>
      </c>
      <c r="B27" s="73" t="inlineStr">
        <is>
          <t>HIR25-21C</t>
        </is>
      </c>
      <c r="C27" s="75" t="n">
        <v>68</v>
      </c>
      <c r="D27" s="76" t="n">
        <v>38.2</v>
      </c>
    </row>
    <row r="28">
      <c r="A28" s="73" t="inlineStr">
        <is>
          <t>XL</t>
        </is>
      </c>
      <c r="B28" s="73" t="inlineStr">
        <is>
          <t>XL-1608HIRC-850</t>
        </is>
      </c>
      <c r="C28" s="75" t="n">
        <v>120</v>
      </c>
      <c r="D28" s="76" t="n">
        <v>21.7</v>
      </c>
    </row>
    <row r="29">
      <c r="A29" s="73" t="inlineStr">
        <is>
          <t>Kingbright</t>
        </is>
      </c>
      <c r="B29" s="73" t="inlineStr">
        <is>
          <t>Everlight/Kingbright equivalent, hand-soldered</t>
        </is>
      </c>
      <c r="C29" s="75" t="n">
        <v>68</v>
      </c>
      <c r="D29" s="76" t="n">
        <v>38.2</v>
      </c>
    </row>
    <row r="30">
      <c r="A30" s="55" t="inlineStr">
        <is>
          <t>Vishay draws 2.1x Everlight and 3.6x XL. That is the design, not an error - but it is why Vishay clips first, so its brightness must be read as 'needs less exposure', not as 'saturates'.</t>
        </is>
      </c>
    </row>
    <row r="32">
      <c r="A32" s="86" t="inlineStr">
        <is>
          <t>THE REGIME</t>
        </is>
      </c>
    </row>
    <row r="34">
      <c r="A34" s="98" t="inlineStr">
        <is>
          <t>TEST A - Bench comparison   (4 types x 3 builds = 12 rows)</t>
        </is>
      </c>
    </row>
    <row r="35">
      <c r="A35" s="94" t="inlineStr">
        <is>
          <t>1. Work one build at a time - the diffuser is the slow thing to change. All four types with the 20 mm, then all four with the 25 mm, then the bare reference LEDs.</t>
        </is>
      </c>
    </row>
    <row r="36">
      <c r="A36" s="94" t="inlineStr">
        <is>
          <t>2. Fix the marker at the Test A distance, facing the camera (0 deg).</t>
        </is>
      </c>
    </row>
    <row r="37">
      <c r="A37" s="94" t="inlineStr">
        <is>
          <t>3. MODE="expose" -&gt; record Exposure, Peak, Sat px, Frames sat, blobs and w/h.</t>
        </is>
      </c>
    </row>
    <row r="38">
      <c r="A38" s="94" t="inlineStr">
        <is>
          <t>4. TARGET THE PEAK: if Peak is outside 200-230, take the 'Next exposure' the sheet computes, set it, and read again. Peak is linear in exposure while unclipped, so this converges in one or two goes.</t>
        </is>
      </c>
    </row>
    <row r="39">
      <c r="A39" s="94" t="inlineStr">
        <is>
          <t>5. If the row still clips at the exposure floor (~21 us), exposure has run out. Either move to the real operating range or add series resistance in-line - you can only ADD R, which lowers current, which is the direction a too-bright board needs.</t>
        </is>
      </c>
    </row>
    <row r="40">
      <c r="A40" s="94" t="inlineStr">
        <is>
          <t>6. BLEND GATE: blobs must read 1 and w/h must sit near 1.00. More than one blob means the four LEDs have not merged - every mode measures only the largest blob, so sigma would look fine while the marker is really four markers.</t>
        </is>
      </c>
    </row>
    <row r="41">
      <c r="A41" s="94" t="inlineStr">
        <is>
          <t>7. MODE="floor" -&gt; record sigma_u, sigma_v, npix. Do NOT change REFINE_FLOOR between LEDs or between builds.</t>
        </is>
      </c>
    </row>
    <row r="42">
      <c r="A42" s="94" t="inlineStr">
        <is>
          <t>8. Only a row that is IN BAND, UNSATURATED and BLENDED carries a usable sigma. Everything else is a diagnostic, not a result.</t>
        </is>
      </c>
    </row>
    <row r="44">
      <c r="A44" s="98" t="inlineStr">
        <is>
          <t>TEST B - Angular response and roll   (each type x each build, at the Test A distance)</t>
        </is>
      </c>
    </row>
    <row r="45">
      <c r="A45" s="94" t="inlineStr">
        <is>
          <t>9.  Sample 1 of each type/build. Rotate the marker off-axis to 0, 15, 30, 45, 60 deg. At each: MODE="expose" -&gt; Exposure, Peak, Sensor area, blobs. Re-target the peak at every angle.</t>
        </is>
      </c>
    </row>
    <row r="46">
      <c r="A46" s="94" t="inlineStr">
        <is>
          <t>10. ROLL (markers only): rotate the same marker about its OWN axis to 0, 22.5, 45, 67.5, 90 deg - 0 deg looking straight at one LED, 45 deg looking between two. At each: MODE="measure" -&gt; mean u, mean v, blobs_max.</t>
        </is>
      </c>
    </row>
    <row r="47">
      <c r="A47" s="94" t="inlineStr">
        <is>
          <t>11. Rotate in place. Any translation of the marker reads as false bias, so clamp the axis and turn it, do not lift and replace it.</t>
        </is>
      </c>
    </row>
    <row r="48">
      <c r="A48" s="94" t="inlineStr">
        <is>
          <t>12. The roll block is the 20 vs 25 mm decider: a marker that blends properly does not move its centroid as it rolls.</t>
        </is>
      </c>
    </row>
    <row r="50">
      <c r="A50" s="98" t="inlineStr">
        <is>
          <t>TEST C - Range   (each type x each build, 1 to 5 m)</t>
        </is>
      </c>
    </row>
    <row r="51">
      <c r="A51" s="94" t="inlineStr">
        <is>
          <t>13. Same sample. Move to each distance listed on C_Range, re-targeting the peak at each one, and record the exposure it took.</t>
        </is>
      </c>
    </row>
    <row r="52">
      <c r="A52" s="94" t="inlineStr">
        <is>
          <t>14. Record Peak, Sat px, Sensor area, blobs, sigma, and whether the tracker detected it at all.</t>
        </is>
      </c>
    </row>
    <row r="53">
      <c r="A53" s="94" t="inlineStr">
        <is>
          <t>15. The near rows set the exposure CEILING (do not clip at the near limit, 0 deg) and the far rows set the FLOOR (enough area to hold sigma). If no single exposure satisfies both, the marker needs a bigger diffuser, more LEDs, or auto-exposure - find that out here, not in flight.</t>
        </is>
      </c>
    </row>
    <row r="55">
      <c r="A55" s="86" t="inlineStr">
        <is>
          <t>WHAT DECIDES THE WINNER</t>
        </is>
      </c>
    </row>
    <row r="57">
      <c r="A57" s="94" t="inlineStr">
        <is>
          <t>Primary:   lowest sigma_RMS among the 8 marker builds, each measured at peak 200-230. That IS your measurement noise - it sets CENTROID_SIGMA.</t>
        </is>
      </c>
    </row>
    <row r="58">
      <c r="A58" s="94" t="inlineStr">
        <is>
          <t>Gate 1:    blobs = 1 and w/h near 1.00 on every reading. A split or lumpy blob invalidates everything measured from it.</t>
        </is>
      </c>
    </row>
    <row r="59">
      <c r="A59" s="94" t="inlineStr">
        <is>
          <t>Gate 2:    Sat px = 0. A saturated marker has a flat top and no subpixel information - and it reports a deceptively LOW sigma, which is how a clipped LED wins a ranking it should lose.</t>
        </is>
      </c>
    </row>
    <row r="60">
      <c r="A60" s="94" t="inlineStr">
        <is>
          <t>Gate 3:    sig_v/sig_u below ~3. Anisotropic noise is a systematic - a build or rig fault - not sensor noise.</t>
        </is>
      </c>
    </row>
    <row r="61">
      <c r="A61" s="94" t="inlineStr">
        <is>
          <t>Gate 4:    roll bias small next to sigma_RMS. Noise averages out over frames; bias does not, and the EKF cannot see it.</t>
        </is>
      </c>
    </row>
    <row r="62">
      <c r="A62" s="94" t="inlineStr">
        <is>
          <t>Gate 5:    detected at the far limit with enough area, and not clipped at the near limit at 0 deg.</t>
        </is>
      </c>
    </row>
    <row r="63">
      <c r="A63" s="94" t="inlineStr">
        <is>
          <t>Tiebreak:  exposure needed for peak 210. Less exposure = less motion smear (400 us costs 1.2 px of smear at 3000 px/s, 3000 us costs 9). A brighter build is an asset, not a defect.</t>
        </is>
      </c>
    </row>
    <row r="64">
      <c r="A64" s="94" t="inlineStr">
        <is>
          <t>Tiebreak:  if both diameters pass every gate within a few percent, take the 20 mm - smaller marker, less occlusion, closer packing on the rig.</t>
        </is>
      </c>
    </row>
    <row r="65">
      <c r="A65" s="94" t="inlineStr">
        <is>
          <t>Bare rows: kept to attribute a bad marker to the LED rather than the build, and to price the diffuser - exposure bare vs diffused is the light the blend cost you.</t>
        </is>
      </c>
    </row>
    <row r="67">
      <c r="A67" s="98" t="inlineStr">
        <is>
          <t>EXAMPLE ROW - this is the format expected on A_Bench:</t>
        </is>
      </c>
    </row>
    <row r="68">
      <c r="A68" s="95" t="inlineStr">
        <is>
          <t>LED Type</t>
        </is>
      </c>
      <c r="B68" s="95" t="inlineStr">
        <is>
          <t>Build</t>
        </is>
      </c>
      <c r="C68" s="95" t="inlineStr">
        <is>
          <t>Sample</t>
        </is>
      </c>
      <c r="D68" s="95" t="inlineStr">
        <is>
          <t>Drive I</t>
        </is>
      </c>
      <c r="E68" s="95" t="inlineStr">
        <is>
          <t>Exposure</t>
        </is>
      </c>
      <c r="F68" s="95" t="inlineStr">
        <is>
          <t>Peak</t>
        </is>
      </c>
      <c r="G68" s="95" t="inlineStr">
        <is>
          <t>Sat px</t>
        </is>
      </c>
      <c r="H68" s="95" t="inlineStr">
        <is>
          <t>Area</t>
        </is>
      </c>
      <c r="I68" s="95" t="inlineStr">
        <is>
          <t>npix</t>
        </is>
      </c>
      <c r="J68" s="95" t="inlineStr">
        <is>
          <t>blobs</t>
        </is>
      </c>
      <c r="K68" s="95" t="inlineStr">
        <is>
          <t>w/h</t>
        </is>
      </c>
      <c r="L68" s="95" t="inlineStr">
        <is>
          <t>sigma_u</t>
        </is>
      </c>
      <c r="M68" s="95" t="inlineStr">
        <is>
          <t>sigma_v</t>
        </is>
      </c>
    </row>
    <row r="69">
      <c r="A69" s="99" t="inlineStr">
        <is>
          <t>Everlight</t>
        </is>
      </c>
      <c r="B69" s="99" t="inlineStr">
        <is>
          <t>20 mm</t>
        </is>
      </c>
      <c r="C69" s="99" t="n">
        <v>1</v>
      </c>
      <c r="D69" s="99" t="n">
        <v>38.2</v>
      </c>
      <c r="E69" s="99" t="n">
        <v>386</v>
      </c>
      <c r="F69" s="99" t="n">
        <v>218</v>
      </c>
      <c r="G69" s="99" t="n">
        <v>0</v>
      </c>
      <c r="H69" s="99" t="n">
        <v>984</v>
      </c>
      <c r="I69" s="99" t="n">
        <v>962</v>
      </c>
      <c r="J69" s="99" t="n">
        <v>1</v>
      </c>
      <c r="K69" s="99" t="n">
        <v>1.03</v>
      </c>
      <c r="L69" s="99" t="n">
        <v>0.0298</v>
      </c>
      <c r="M69" s="99" t="n">
        <v>0.0271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S1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10" customWidth="1" min="8" max="8"/>
    <col width="13" customWidth="1" min="9" max="9"/>
    <col width="12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2" customWidth="1" min="17" max="17"/>
    <col width="12" customWidth="1" min="18" max="18"/>
    <col width="46" customWidth="1" min="19" max="19"/>
  </cols>
  <sheetData>
    <row r="1" ht="18" customHeight="1">
      <c r="A1" s="54" t="inlineStr">
        <is>
          <t>TEST A - Bench comparison at the Test A distance, 0 deg</t>
        </is>
      </c>
    </row>
    <row r="2">
      <c r="A2" s="55" t="inlineStr">
        <is>
          <t>Blue on yellow = fill in.  Black = calculated.  Each diffused marker holds FOUR LEDs in series off 9 V; 'bare (ref)' is a single LED, kept as a reference and never ranked.</t>
        </is>
      </c>
    </row>
    <row r="3" ht="30" customHeight="1">
      <c r="A3" s="56" t="inlineStr">
        <is>
          <t>LED Type</t>
        </is>
      </c>
      <c r="B3" s="56" t="inlineStr">
        <is>
          <t>Build</t>
        </is>
      </c>
      <c r="C3" s="56" t="inlineStr">
        <is>
          <t>Sample</t>
        </is>
      </c>
      <c r="D3" s="56" t="inlineStr">
        <is>
          <t>Drive I
(mA)</t>
        </is>
      </c>
      <c r="E3" s="56" t="inlineStr">
        <is>
          <t>Exposure
(us)</t>
        </is>
      </c>
      <c r="F3" s="56" t="inlineStr">
        <is>
          <t>Peak
(0-255)</t>
        </is>
      </c>
      <c r="G3" s="56" t="inlineStr">
        <is>
          <t>Sat px</t>
        </is>
      </c>
      <c r="H3" s="56" t="inlineStr">
        <is>
          <t>Frames sat
(of 200)</t>
        </is>
      </c>
      <c r="I3" s="56" t="inlineStr">
        <is>
          <t>Next exposure
(us, aim 210)</t>
        </is>
      </c>
      <c r="J3" s="56" t="inlineStr">
        <is>
          <t>Sensor area
(px)</t>
        </is>
      </c>
      <c r="K3" s="56" t="inlineStr">
        <is>
          <t>npix
(refined)</t>
        </is>
      </c>
      <c r="L3" s="56" t="inlineStr">
        <is>
          <t>blobs
(must be 1)</t>
        </is>
      </c>
      <c r="M3" s="56" t="inlineStr">
        <is>
          <t>w/h
(want ~1.00)</t>
        </is>
      </c>
      <c r="N3" s="56" t="inlineStr">
        <is>
          <t>Blend
gate</t>
        </is>
      </c>
      <c r="O3" s="56" t="inlineStr">
        <is>
          <t>sigma_u
(px)</t>
        </is>
      </c>
      <c r="P3" s="56" t="inlineStr">
        <is>
          <t>sigma_v
(px)</t>
        </is>
      </c>
      <c r="Q3" s="56" t="inlineStr">
        <is>
          <t>sigma_RMS
(px)</t>
        </is>
      </c>
      <c r="R3" s="56" t="inlineStr">
        <is>
          <t>sig_v/sig_u
(&gt;3 = suspect)</t>
        </is>
      </c>
      <c r="S3" s="56" t="inlineStr">
        <is>
          <t>Notes</t>
        </is>
      </c>
    </row>
    <row r="4">
      <c r="A4" s="57" t="inlineStr">
        <is>
          <t>EXAMPLE</t>
        </is>
      </c>
      <c r="B4" s="58" t="inlineStr">
        <is>
          <t>20 mm</t>
        </is>
      </c>
      <c r="C4" s="59" t="n">
        <v>1</v>
      </c>
      <c r="D4" s="60" t="n">
        <v>38.2</v>
      </c>
      <c r="E4" s="59" t="n">
        <v>386</v>
      </c>
      <c r="F4" s="59" t="n">
        <v>218</v>
      </c>
      <c r="G4" s="59" t="n">
        <v>0</v>
      </c>
      <c r="H4" s="59" t="n">
        <v>0</v>
      </c>
      <c r="I4" s="59">
        <f>IF(OR(E4="",F4="",F4=0),"",IF(G4&gt;0,"reduce light",ROUND(E4*210/F4/21.3,0)*21.3))</f>
        <v/>
      </c>
      <c r="J4" s="59" t="n">
        <v>984</v>
      </c>
      <c r="K4" s="59" t="n">
        <v>962</v>
      </c>
      <c r="L4" s="59" t="n">
        <v>1</v>
      </c>
      <c r="M4" s="61" t="n">
        <v>1.03</v>
      </c>
      <c r="N4" s="58">
        <f>IF(OR(L4="",M4=""),"",IF(AND(L4=1,M4&gt;=0.9,M4&lt;=1.1),"pass","FAIL"))</f>
        <v/>
      </c>
      <c r="O4" s="62" t="n">
        <v>0.0298</v>
      </c>
      <c r="P4" s="62" t="n">
        <v>0.0271</v>
      </c>
      <c r="Q4" s="62">
        <f>IF(OR(O4="",P4=""),"",SQRT(0.5*(O4^2+P4^2)))</f>
        <v/>
      </c>
      <c r="R4" s="60">
        <f>IF(OR(O4="",P4="",O4=0),"",P4/O4)</f>
        <v/>
      </c>
      <c r="S4" s="57" t="inlineStr">
        <is>
          <t>peak in band, blend passes</t>
        </is>
      </c>
    </row>
    <row r="5">
      <c r="A5" s="63" t="inlineStr">
        <is>
          <t>Vishay</t>
        </is>
      </c>
      <c r="B5" s="64" t="inlineStr">
        <is>
          <t>bare (ref)</t>
        </is>
      </c>
      <c r="C5" s="65" t="n">
        <v>1</v>
      </c>
      <c r="D5" s="66" t="n">
        <v>78.8</v>
      </c>
      <c r="E5" s="67" t="n">
        <v>85</v>
      </c>
      <c r="F5" s="67" t="n">
        <v>255</v>
      </c>
      <c r="G5" s="68" t="n">
        <v>71.3</v>
      </c>
      <c r="H5" s="67" t="n">
        <v>200</v>
      </c>
      <c r="I5" s="65">
        <f>IF(OR(E5="",F5="",F5=0),"",IF(G5&gt;0,"reduce light",ROUND(E5*210/F5/21.3,0)*21.3))</f>
        <v/>
      </c>
      <c r="J5" s="67" t="n">
        <v>736</v>
      </c>
      <c r="K5" s="67" t="n">
        <v>812</v>
      </c>
      <c r="L5" s="67" t="n">
        <v>1</v>
      </c>
      <c r="M5" s="69" t="n">
        <v>1</v>
      </c>
      <c r="N5" s="64">
        <f>IF(OR(L5="",M5=""),"",IF(AND(L5=1,M5&gt;=0.9,M5&lt;=1.1),"pass","FAIL"))</f>
        <v/>
      </c>
      <c r="O5" s="70" t="n">
        <v>0.0269</v>
      </c>
      <c r="P5" s="70" t="n">
        <v>0.0216</v>
      </c>
      <c r="Q5" s="71">
        <f>IF(OR(O5="",P5=""),"",SQRT(0.5*(O5^2+P5^2)))</f>
        <v/>
      </c>
      <c r="R5" s="66">
        <f>IF(OR(O5="",P5="",O5=0),"",P5/O5)</f>
        <v/>
      </c>
      <c r="S5" s="72" t="inlineStr">
        <is>
          <t>Exposure_uS = 85, Couldn't get it to be unsaturated : saturated 200/200 frames</t>
        </is>
      </c>
    </row>
    <row r="6">
      <c r="A6" s="73" t="inlineStr">
        <is>
          <t>Everlight</t>
        </is>
      </c>
      <c r="B6" s="74" t="inlineStr">
        <is>
          <t>bare (ref)</t>
        </is>
      </c>
      <c r="C6" s="75" t="n">
        <v>1</v>
      </c>
      <c r="D6" s="76" t="n">
        <v>38.2</v>
      </c>
      <c r="E6" s="77" t="n">
        <v>85</v>
      </c>
      <c r="F6" s="77" t="n">
        <v>255</v>
      </c>
      <c r="G6" s="78" t="n">
        <v>42.1</v>
      </c>
      <c r="H6" s="77" t="n"/>
      <c r="I6" s="75">
        <f>IF(OR(E6="",F6="",F6=0),"",IF(G6&gt;0,"reduce light",ROUND(E6*210/F6/21.3,0)*21.3))</f>
        <v/>
      </c>
      <c r="J6" s="77" t="n">
        <v>163</v>
      </c>
      <c r="K6" s="77" t="n">
        <v>237</v>
      </c>
      <c r="L6" s="77" t="n">
        <v>1</v>
      </c>
      <c r="M6" s="79" t="n">
        <v>0.9</v>
      </c>
      <c r="N6" s="74">
        <f>IF(OR(L6="",M6=""),"",IF(AND(L6=1,M6&gt;=0.9,M6&lt;=1.1),"pass","FAIL"))</f>
        <v/>
      </c>
      <c r="O6" s="80" t="n">
        <v>0.0409</v>
      </c>
      <c r="P6" s="80" t="n">
        <v>0.6624</v>
      </c>
      <c r="Q6" s="81">
        <f>IF(OR(O6="",P6=""),"",SQRT(0.5*(O6^2+P6^2)))</f>
        <v/>
      </c>
      <c r="R6" s="76">
        <f>IF(OR(O6="",P6="",O6=0),"",P6/O6)</f>
        <v/>
      </c>
      <c r="S6" s="82" t="inlineStr">
        <is>
          <t>Exposure_uS = 85</t>
        </is>
      </c>
    </row>
    <row r="7">
      <c r="A7" s="73" t="inlineStr">
        <is>
          <t>XL</t>
        </is>
      </c>
      <c r="B7" s="74" t="inlineStr">
        <is>
          <t>bare (ref)</t>
        </is>
      </c>
      <c r="C7" s="75" t="n">
        <v>1</v>
      </c>
      <c r="D7" s="76" t="n">
        <v>21.7</v>
      </c>
      <c r="E7" s="77" t="n">
        <v>235</v>
      </c>
      <c r="F7" s="77" t="n">
        <v>255</v>
      </c>
      <c r="G7" s="78" t="n">
        <v>7</v>
      </c>
      <c r="H7" s="77" t="n"/>
      <c r="I7" s="75">
        <f>IF(OR(E7="",F7="",F7=0),"",IF(G7&gt;0,"reduce light",ROUND(E7*210/F7/21.3,0)*21.3))</f>
        <v/>
      </c>
      <c r="J7" s="77" t="n">
        <v>280</v>
      </c>
      <c r="K7" s="77" t="n">
        <v>386</v>
      </c>
      <c r="L7" s="77" t="n">
        <v>1</v>
      </c>
      <c r="M7" s="79" t="n"/>
      <c r="N7" s="74">
        <f>IF(OR(L7="",M7=""),"",IF(AND(L7=1,M7&gt;=0.9,M7&lt;=1.1),"pass","FAIL"))</f>
        <v/>
      </c>
      <c r="O7" s="80" t="n">
        <v>0.06469999999999999</v>
      </c>
      <c r="P7" s="80" t="n">
        <v>0.2962</v>
      </c>
      <c r="Q7" s="81">
        <f>IF(OR(O7="",P7=""),"",SQRT(0.5*(O7^2+P7^2)))</f>
        <v/>
      </c>
      <c r="R7" s="76">
        <f>IF(OR(O7="",P7="",O7=0),"",P7/O7)</f>
        <v/>
      </c>
      <c r="S7" s="83" t="inlineStr">
        <is>
          <t>CHECK - row was entered shifted; unexplained value 3.5 sat in Sensor area. Exposure_uS = 235</t>
        </is>
      </c>
    </row>
    <row r="8">
      <c r="A8" s="73" t="inlineStr">
        <is>
          <t>Kingbright</t>
        </is>
      </c>
      <c r="B8" s="74" t="inlineStr">
        <is>
          <t>bare (ref)</t>
        </is>
      </c>
      <c r="C8" s="75" t="n">
        <v>1</v>
      </c>
      <c r="D8" s="76" t="n">
        <v>38.2</v>
      </c>
      <c r="E8" s="77" t="n">
        <v>42</v>
      </c>
      <c r="F8" s="77" t="n">
        <v>255</v>
      </c>
      <c r="G8" s="78" t="n">
        <v>89.7</v>
      </c>
      <c r="H8" s="77" t="n"/>
      <c r="I8" s="75">
        <f>IF(OR(E8="",F8="",F8=0),"",IF(G8&gt;0,"reduce light",ROUND(E8*210/F8/21.3,0)*21.3))</f>
        <v/>
      </c>
      <c r="J8" s="77" t="n">
        <v>323</v>
      </c>
      <c r="K8" s="77" t="n">
        <v>395</v>
      </c>
      <c r="L8" s="77" t="n">
        <v>1</v>
      </c>
      <c r="M8" s="79" t="n">
        <v>1.13</v>
      </c>
      <c r="N8" s="74">
        <f>IF(OR(L8="",M8=""),"",IF(AND(L8=1,M8&gt;=0.9,M8&lt;=1.1),"pass","FAIL"))</f>
        <v/>
      </c>
      <c r="O8" s="80" t="n">
        <v>0.09719999999999999</v>
      </c>
      <c r="P8" s="80" t="n">
        <v>0.2132</v>
      </c>
      <c r="Q8" s="81">
        <f>IF(OR(O8="",P8=""),"",SQRT(0.5*(O8^2+P8^2)))</f>
        <v/>
      </c>
      <c r="R8" s="76">
        <f>IF(OR(O8="",P8="",O8=0),"",P8/O8)</f>
        <v/>
      </c>
      <c r="S8" s="82" t="inlineStr">
        <is>
          <t>Exposure_uS = 42</t>
        </is>
      </c>
    </row>
    <row r="9">
      <c r="A9" s="63" t="inlineStr">
        <is>
          <t>Vishay</t>
        </is>
      </c>
      <c r="B9" s="64" t="inlineStr">
        <is>
          <t>20 mm</t>
        </is>
      </c>
      <c r="C9" s="65" t="n">
        <v>1</v>
      </c>
      <c r="D9" s="66" t="n">
        <v>78.8</v>
      </c>
      <c r="E9" s="67" t="n">
        <v>85</v>
      </c>
      <c r="F9" s="67" t="n">
        <v>255</v>
      </c>
      <c r="G9" s="68" t="n">
        <v>58</v>
      </c>
      <c r="H9" s="67" t="n">
        <v>200</v>
      </c>
      <c r="I9" s="65">
        <f>IF(OR(E9="",F9="",F9=0),"",IF(G9&gt;0,"reduce light",ROUND(E9*210/F9/21.3,0)*21.3))</f>
        <v/>
      </c>
      <c r="J9" s="67" t="n">
        <v>248</v>
      </c>
      <c r="K9" s="67" t="n">
        <v>328</v>
      </c>
      <c r="L9" s="67" t="n">
        <v>1</v>
      </c>
      <c r="M9" s="69" t="n">
        <v>1</v>
      </c>
      <c r="N9" s="64">
        <f>IF(OR(L9="",M9=""),"",IF(AND(L9=1,M9&gt;=0.9,M9&lt;=1.1),"pass","FAIL"))</f>
        <v/>
      </c>
      <c r="O9" s="70" t="n">
        <v>0.0427</v>
      </c>
      <c r="P9" s="70" t="n">
        <v>0.0166</v>
      </c>
      <c r="Q9" s="71">
        <f>IF(OR(O9="",P9=""),"",SQRT(0.5*(O9^2+P9^2)))</f>
        <v/>
      </c>
      <c r="R9" s="66">
        <f>IF(OR(O9="",P9="",O9=0),"",P9/O9)</f>
        <v/>
      </c>
      <c r="S9" s="72" t="inlineStr">
        <is>
          <t>Exposure_uS = 85, Couldn't get it to be unsaturated: saturated 200/200 frames</t>
        </is>
      </c>
    </row>
    <row r="10">
      <c r="A10" s="73" t="inlineStr">
        <is>
          <t>Everlight</t>
        </is>
      </c>
      <c r="B10" s="74" t="inlineStr">
        <is>
          <t>20 mm</t>
        </is>
      </c>
      <c r="C10" s="75" t="n">
        <v>1</v>
      </c>
      <c r="D10" s="76" t="n">
        <v>38.2</v>
      </c>
      <c r="E10" s="77" t="n">
        <v>386</v>
      </c>
      <c r="F10" s="77" t="n">
        <v>194</v>
      </c>
      <c r="G10" s="78" t="n">
        <v>0</v>
      </c>
      <c r="H10" s="77" t="n"/>
      <c r="I10" s="75">
        <f>IF(OR(E10="",F10="",F10=0),"",IF(G10&gt;0,"reduce light",ROUND(E10*210/F10/21.3,0)*21.3))</f>
        <v/>
      </c>
      <c r="J10" s="77" t="n">
        <v>541</v>
      </c>
      <c r="K10" s="77" t="n">
        <v>716</v>
      </c>
      <c r="L10" s="77" t="n">
        <v>1</v>
      </c>
      <c r="M10" s="79" t="n">
        <v>1</v>
      </c>
      <c r="N10" s="74">
        <f>IF(OR(L10="",M10=""),"",IF(AND(L10=1,M10&gt;=0.9,M10&lt;=1.1),"pass","FAIL"))</f>
        <v/>
      </c>
      <c r="O10" s="80" t="n">
        <v>0.0263</v>
      </c>
      <c r="P10" s="80" t="n">
        <v>0.04</v>
      </c>
      <c r="Q10" s="81">
        <f>IF(OR(O10="",P10=""),"",SQRT(0.5*(O10^2+P10^2)))</f>
        <v/>
      </c>
      <c r="R10" s="76">
        <f>IF(OR(O10="",P10="",O10=0),"",P10/O10)</f>
        <v/>
      </c>
      <c r="S10" s="82" t="inlineStr">
        <is>
          <t>Exposure_uS = 386</t>
        </is>
      </c>
    </row>
    <row r="11">
      <c r="A11" s="73" t="inlineStr">
        <is>
          <t>XL</t>
        </is>
      </c>
      <c r="B11" s="74" t="inlineStr">
        <is>
          <t>20 mm</t>
        </is>
      </c>
      <c r="C11" s="75" t="n">
        <v>1</v>
      </c>
      <c r="D11" s="76" t="n">
        <v>21.7</v>
      </c>
      <c r="E11" s="77" t="n">
        <v>493</v>
      </c>
      <c r="F11" s="77" t="n">
        <v>187</v>
      </c>
      <c r="G11" s="78" t="n">
        <v>0</v>
      </c>
      <c r="H11" s="77" t="n"/>
      <c r="I11" s="75">
        <f>IF(OR(E11="",F11="",F11=0),"",IF(G11&gt;0,"reduce light",ROUND(E11*210/F11/21.3,0)*21.3))</f>
        <v/>
      </c>
      <c r="J11" s="77" t="n">
        <v>855</v>
      </c>
      <c r="K11" s="77" t="n">
        <v>1117</v>
      </c>
      <c r="L11" s="77" t="n"/>
      <c r="M11" s="79" t="n"/>
      <c r="N11" s="74">
        <f>IF(OR(L11="",M11=""),"",IF(AND(L11=1,M11&gt;=0.9,M11&lt;=1.1),"pass","FAIL"))</f>
        <v/>
      </c>
      <c r="O11" s="80" t="n">
        <v>0.0305</v>
      </c>
      <c r="P11" s="80" t="n">
        <v>0.0305</v>
      </c>
      <c r="Q11" s="81">
        <f>IF(OR(O11="",P11=""),"",SQRT(0.5*(O11^2+P11^2)))</f>
        <v/>
      </c>
      <c r="R11" s="76">
        <f>IF(OR(O11="",P11="",O11=0),"",P11/O11)</f>
        <v/>
      </c>
      <c r="S11" s="82" t="inlineStr">
        <is>
          <t>Exposure_uS = 493</t>
        </is>
      </c>
    </row>
    <row r="12">
      <c r="A12" s="73" t="inlineStr">
        <is>
          <t>Kingbright</t>
        </is>
      </c>
      <c r="B12" s="74" t="inlineStr">
        <is>
          <t>20 mm</t>
        </is>
      </c>
      <c r="C12" s="75" t="n">
        <v>1</v>
      </c>
      <c r="D12" s="76" t="n">
        <v>38.2</v>
      </c>
      <c r="E12" s="77" t="n">
        <v>128</v>
      </c>
      <c r="F12" s="77" t="n">
        <v>252</v>
      </c>
      <c r="G12" s="78" t="n">
        <v>8.1</v>
      </c>
      <c r="H12" s="77" t="n">
        <v>188</v>
      </c>
      <c r="I12" s="75">
        <f>IF(OR(E12="",F12="",F12=0),"",IF(G12&gt;0,"reduce light",ROUND(E12*210/F12/21.3,0)*21.3))</f>
        <v/>
      </c>
      <c r="J12" s="77" t="n">
        <v>177</v>
      </c>
      <c r="K12" s="77" t="n">
        <v>298</v>
      </c>
      <c r="L12" s="77" t="n">
        <v>1</v>
      </c>
      <c r="M12" s="79" t="n">
        <v>1</v>
      </c>
      <c r="N12" s="74">
        <f>IF(OR(L12="",M12=""),"",IF(AND(L12=1,M12&gt;=0.9,M12&lt;=1.1),"pass","FAIL"))</f>
        <v/>
      </c>
      <c r="O12" s="80" t="n">
        <v>0.1574</v>
      </c>
      <c r="P12" s="80" t="n">
        <v>3.2473</v>
      </c>
      <c r="Q12" s="81">
        <f>IF(OR(O12="",P12=""),"",SQRT(0.5*(O12^2+P12^2)))</f>
        <v/>
      </c>
      <c r="R12" s="76">
        <f>IF(OR(O12="",P12="",O12=0),"",P12/O12)</f>
        <v/>
      </c>
      <c r="S12" s="82" t="inlineStr">
        <is>
          <t>Exposure_uS = 128, Couldn't get it to be unsaturated: saturated 188/200 frames</t>
        </is>
      </c>
    </row>
    <row r="13">
      <c r="A13" s="63" t="inlineStr">
        <is>
          <t>Vishay</t>
        </is>
      </c>
      <c r="B13" s="64" t="inlineStr">
        <is>
          <t>25 mm</t>
        </is>
      </c>
      <c r="C13" s="65" t="n">
        <v>1</v>
      </c>
      <c r="D13" s="66" t="n">
        <v>78.8</v>
      </c>
      <c r="E13" s="67" t="n">
        <v>85</v>
      </c>
      <c r="F13" s="67" t="n">
        <v>255</v>
      </c>
      <c r="G13" s="68" t="n">
        <v>67.7</v>
      </c>
      <c r="H13" s="67" t="n">
        <v>200</v>
      </c>
      <c r="I13" s="65">
        <f>IF(OR(E13="",F13="",F13=0),"",IF(G13&gt;0,"reduce light",ROUND(E13*210/F13/21.3,0)*21.3))</f>
        <v/>
      </c>
      <c r="J13" s="67" t="n">
        <v>347</v>
      </c>
      <c r="K13" s="67" t="n">
        <v>447</v>
      </c>
      <c r="L13" s="67" t="n">
        <v>1</v>
      </c>
      <c r="M13" s="69" t="n">
        <v>1.13</v>
      </c>
      <c r="N13" s="64">
        <f>IF(OR(L13="",M13=""),"",IF(AND(L13=1,M13&gt;=0.9,M13&lt;=1.1),"pass","FAIL"))</f>
        <v/>
      </c>
      <c r="O13" s="70" t="n">
        <v>0.0536</v>
      </c>
      <c r="P13" s="70" t="n">
        <v>0.0165</v>
      </c>
      <c r="Q13" s="71">
        <f>IF(OR(O13="",P13=""),"",SQRT(0.5*(O13^2+P13^2)))</f>
        <v/>
      </c>
      <c r="R13" s="66">
        <f>IF(OR(O13="",P13="",O13=0),"",P13/O13)</f>
        <v/>
      </c>
      <c r="S13" s="72" t="inlineStr">
        <is>
          <t>Exposure_uS = 85, Couldn't get it to be unsaturated: saturated 200/200 frames</t>
        </is>
      </c>
    </row>
    <row r="14">
      <c r="A14" s="73" t="inlineStr">
        <is>
          <t>Everlight</t>
        </is>
      </c>
      <c r="B14" s="74" t="inlineStr">
        <is>
          <t>25 mm</t>
        </is>
      </c>
      <c r="C14" s="75" t="n">
        <v>1</v>
      </c>
      <c r="D14" s="76" t="n">
        <v>38.2</v>
      </c>
      <c r="E14" s="77" t="n">
        <v>493</v>
      </c>
      <c r="F14" s="77" t="n">
        <v>194</v>
      </c>
      <c r="G14" s="78" t="n">
        <v>0</v>
      </c>
      <c r="H14" s="77" t="n"/>
      <c r="I14" s="75">
        <f>IF(OR(E14="",F14="",F14=0),"",IF(G14&gt;0,"reduce light",ROUND(E14*210/F14/21.3,0)*21.3))</f>
        <v/>
      </c>
      <c r="J14" s="77" t="n">
        <v>739</v>
      </c>
      <c r="K14" s="77" t="n">
        <v>1018</v>
      </c>
      <c r="L14" s="77" t="n">
        <v>1</v>
      </c>
      <c r="M14" s="79" t="n">
        <v>1</v>
      </c>
      <c r="N14" s="74">
        <f>IF(OR(L14="",M14=""),"",IF(AND(L14=1,M14&gt;=0.9,M14&lt;=1.1),"pass","FAIL"))</f>
        <v/>
      </c>
      <c r="O14" s="80" t="n">
        <v>0.0237</v>
      </c>
      <c r="P14" s="80" t="n">
        <v>0.0319</v>
      </c>
      <c r="Q14" s="81">
        <f>IF(OR(O14="",P14=""),"",SQRT(0.5*(O14^2+P14^2)))</f>
        <v/>
      </c>
      <c r="R14" s="76">
        <f>IF(OR(O14="",P14="",O14=0),"",P14/O14)</f>
        <v/>
      </c>
      <c r="S14" s="82" t="inlineStr">
        <is>
          <t>Exposure_uS = 493</t>
        </is>
      </c>
    </row>
    <row r="15">
      <c r="A15" s="73" t="inlineStr">
        <is>
          <t>XL</t>
        </is>
      </c>
      <c r="B15" s="74" t="inlineStr">
        <is>
          <t>25 mm</t>
        </is>
      </c>
      <c r="C15" s="75" t="n">
        <v>1</v>
      </c>
      <c r="D15" s="76" t="n">
        <v>21.7</v>
      </c>
      <c r="E15" s="77" t="n">
        <v>686</v>
      </c>
      <c r="F15" s="77" t="n">
        <v>143</v>
      </c>
      <c r="G15" s="78" t="n">
        <v>0</v>
      </c>
      <c r="H15" s="77" t="n"/>
      <c r="I15" s="75">
        <f>IF(OR(E15="",F15="",F15=0),"",IF(G15&gt;0,"reduce light",ROUND(E15*210/F15/21.3,0)*21.3))</f>
        <v/>
      </c>
      <c r="J15" s="77" t="n">
        <v>444</v>
      </c>
      <c r="K15" s="77" t="n">
        <v>639</v>
      </c>
      <c r="L15" s="77" t="n">
        <v>1</v>
      </c>
      <c r="M15" s="79" t="n">
        <v>1</v>
      </c>
      <c r="N15" s="74">
        <f>IF(OR(L15="",M15=""),"",IF(AND(L15=1,M15&gt;=0.9,M15&lt;=1.1),"pass","FAIL"))</f>
        <v/>
      </c>
      <c r="O15" s="80" t="n">
        <v>0.0294</v>
      </c>
      <c r="P15" s="80" t="n">
        <v>0.0287</v>
      </c>
      <c r="Q15" s="81">
        <f>IF(OR(O15="",P15=""),"",SQRT(0.5*(O15^2+P15^2)))</f>
        <v/>
      </c>
      <c r="R15" s="76">
        <f>IF(OR(O15="",P15="",O15=0),"",P15/O15)</f>
        <v/>
      </c>
      <c r="S15" s="82" t="inlineStr">
        <is>
          <t>Exposure_uS = 686</t>
        </is>
      </c>
    </row>
    <row r="16">
      <c r="A16" s="73" t="inlineStr">
        <is>
          <t>Kingbright</t>
        </is>
      </c>
      <c r="B16" s="74" t="inlineStr">
        <is>
          <t>25 mm</t>
        </is>
      </c>
      <c r="C16" s="75" t="n">
        <v>1</v>
      </c>
      <c r="D16" s="76" t="n">
        <v>38.2</v>
      </c>
      <c r="E16" s="77" t="n">
        <v>128</v>
      </c>
      <c r="F16" s="77" t="n">
        <v>248</v>
      </c>
      <c r="G16" s="78" t="n">
        <v>5.3</v>
      </c>
      <c r="H16" s="77" t="n">
        <v>124</v>
      </c>
      <c r="I16" s="75">
        <f>IF(OR(E16="",F16="",F16=0),"",IF(G16&gt;0,"reduce light",ROUND(E16*210/F16/21.3,0)*21.3))</f>
        <v/>
      </c>
      <c r="J16" s="77" t="n">
        <v>163</v>
      </c>
      <c r="K16" s="77" t="n">
        <v>282</v>
      </c>
      <c r="L16" s="77" t="n">
        <v>1</v>
      </c>
      <c r="M16" s="79" t="n">
        <v>1</v>
      </c>
      <c r="N16" s="74">
        <f>IF(OR(L16="",M16=""),"",IF(AND(L16=1,M16&gt;=0.9,M16&lt;=1.1),"pass","FAIL"))</f>
        <v/>
      </c>
      <c r="O16" s="80" t="n">
        <v>0.0712</v>
      </c>
      <c r="P16" s="80" t="n">
        <v>3.5417</v>
      </c>
      <c r="Q16" s="81">
        <f>IF(OR(O16="",P16=""),"",SQRT(0.5*(O16^2+P16^2)))</f>
        <v/>
      </c>
      <c r="R16" s="76">
        <f>IF(OR(O16="",P16="",O16=0),"",P16/O16)</f>
        <v/>
      </c>
      <c r="S16" s="82" t="inlineStr">
        <is>
          <t>Exposure_uS = 128, Couldn't get it to be unsaturated: saturated 124/200 frames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K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1" customWidth="1" min="9" max="9"/>
    <col width="13" customWidth="1" min="10" max="10"/>
    <col width="34" customWidth="1" min="11" max="11"/>
  </cols>
  <sheetData>
    <row r="1" ht="18" customHeight="1">
      <c r="A1" s="54" t="inlineStr">
        <is>
          <t>TEST B - Angular response (off-axis) and roll (centroid bias)</t>
        </is>
      </c>
    </row>
    <row r="2">
      <c r="A2" s="55" t="inlineStr">
        <is>
          <t>Blue on yellow = fill in.  Black = calculated.  Each diffused marker holds FOUR LEDs in series off 9 V; 'bare (ref)' is a single LED, kept as a reference and never ranked.</t>
        </is>
      </c>
    </row>
    <row r="3" ht="30" customHeight="1">
      <c r="A3" s="56" t="inlineStr">
        <is>
          <t>LED Type</t>
        </is>
      </c>
      <c r="B3" s="56" t="inlineStr">
        <is>
          <t>Build</t>
        </is>
      </c>
      <c r="C3" s="56" t="inlineStr">
        <is>
          <t>Sample</t>
        </is>
      </c>
      <c r="D3" s="56" t="inlineStr">
        <is>
          <t>Angle
(deg)</t>
        </is>
      </c>
      <c r="E3" s="56" t="inlineStr">
        <is>
          <t>Exposure
(us)</t>
        </is>
      </c>
      <c r="F3" s="56" t="inlineStr">
        <is>
          <t>Peak
(0-255)</t>
        </is>
      </c>
      <c r="G3" s="56" t="inlineStr">
        <is>
          <t>Sensor area
(px)</t>
        </is>
      </c>
      <c r="H3" s="56" t="inlineStr">
        <is>
          <t>blobs</t>
        </is>
      </c>
      <c r="I3" s="56" t="inlineStr">
        <is>
          <t>Area vs 0 deg</t>
        </is>
      </c>
      <c r="J3" s="56" t="inlineStr">
        <is>
          <t>Peak vs 0 deg</t>
        </is>
      </c>
      <c r="K3" s="56" t="inlineStr">
        <is>
          <t>Notes</t>
        </is>
      </c>
    </row>
    <row r="4">
      <c r="A4" s="63" t="inlineStr">
        <is>
          <t>Vishay</t>
        </is>
      </c>
      <c r="B4" s="64" t="inlineStr">
        <is>
          <t>bare (ref)</t>
        </is>
      </c>
      <c r="C4" s="65" t="n">
        <v>1</v>
      </c>
      <c r="D4" s="65" t="n">
        <v>0</v>
      </c>
      <c r="E4" s="67" t="n"/>
      <c r="F4" s="67" t="n"/>
      <c r="G4" s="67" t="n"/>
      <c r="H4" s="67" t="n"/>
      <c r="I4" s="84">
        <f>IF(OR(G4="",G$4=""),"",G4/G$4)</f>
        <v/>
      </c>
      <c r="J4" s="84">
        <f>IF(OR(F4="",F$4=""),"",F4/F$4)</f>
        <v/>
      </c>
      <c r="K4" s="72" t="n"/>
    </row>
    <row r="5">
      <c r="A5" s="73" t="inlineStr">
        <is>
          <t>Vishay</t>
        </is>
      </c>
      <c r="B5" s="74" t="inlineStr">
        <is>
          <t>bare (ref)</t>
        </is>
      </c>
      <c r="C5" s="75" t="n">
        <v>1</v>
      </c>
      <c r="D5" s="75" t="n">
        <v>15</v>
      </c>
      <c r="E5" s="77" t="n"/>
      <c r="F5" s="77" t="n"/>
      <c r="G5" s="77" t="n"/>
      <c r="H5" s="77" t="n"/>
      <c r="I5" s="85">
        <f>IF(OR(G5="",G$4=""),"",G5/G$4)</f>
        <v/>
      </c>
      <c r="J5" s="85">
        <f>IF(OR(F5="",F$4=""),"",F5/F$4)</f>
        <v/>
      </c>
      <c r="K5" s="82" t="n"/>
    </row>
    <row r="6">
      <c r="A6" s="73" t="inlineStr">
        <is>
          <t>Vishay</t>
        </is>
      </c>
      <c r="B6" s="74" t="inlineStr">
        <is>
          <t>bare (ref)</t>
        </is>
      </c>
      <c r="C6" s="75" t="n">
        <v>1</v>
      </c>
      <c r="D6" s="75" t="n">
        <v>30</v>
      </c>
      <c r="E6" s="77" t="n"/>
      <c r="F6" s="77" t="n"/>
      <c r="G6" s="77" t="n"/>
      <c r="H6" s="77" t="n"/>
      <c r="I6" s="85">
        <f>IF(OR(G6="",G$4=""),"",G6/G$4)</f>
        <v/>
      </c>
      <c r="J6" s="85">
        <f>IF(OR(F6="",F$4=""),"",F6/F$4)</f>
        <v/>
      </c>
      <c r="K6" s="82" t="n"/>
    </row>
    <row r="7">
      <c r="A7" s="73" t="inlineStr">
        <is>
          <t>Vishay</t>
        </is>
      </c>
      <c r="B7" s="74" t="inlineStr">
        <is>
          <t>bare (ref)</t>
        </is>
      </c>
      <c r="C7" s="75" t="n">
        <v>1</v>
      </c>
      <c r="D7" s="75" t="n">
        <v>45</v>
      </c>
      <c r="E7" s="77" t="n"/>
      <c r="F7" s="77" t="n"/>
      <c r="G7" s="77" t="n"/>
      <c r="H7" s="77" t="n"/>
      <c r="I7" s="85">
        <f>IF(OR(G7="",G$4=""),"",G7/G$4)</f>
        <v/>
      </c>
      <c r="J7" s="85">
        <f>IF(OR(F7="",F$4=""),"",F7/F$4)</f>
        <v/>
      </c>
      <c r="K7" s="82" t="n"/>
    </row>
    <row r="8">
      <c r="A8" s="73" t="inlineStr">
        <is>
          <t>Vishay</t>
        </is>
      </c>
      <c r="B8" s="74" t="inlineStr">
        <is>
          <t>bare (ref)</t>
        </is>
      </c>
      <c r="C8" s="75" t="n">
        <v>1</v>
      </c>
      <c r="D8" s="75" t="n">
        <v>60</v>
      </c>
      <c r="E8" s="77" t="n"/>
      <c r="F8" s="77" t="n"/>
      <c r="G8" s="77" t="n"/>
      <c r="H8" s="77" t="n"/>
      <c r="I8" s="85">
        <f>IF(OR(G8="",G$4=""),"",G8/G$4)</f>
        <v/>
      </c>
      <c r="J8" s="85">
        <f>IF(OR(F8="",F$4=""),"",F8/F$4)</f>
        <v/>
      </c>
      <c r="K8" s="82" t="n"/>
    </row>
    <row r="9">
      <c r="A9" s="73" t="inlineStr">
        <is>
          <t>Everlight</t>
        </is>
      </c>
      <c r="B9" s="74" t="inlineStr">
        <is>
          <t>bare (ref)</t>
        </is>
      </c>
      <c r="C9" s="75" t="n">
        <v>1</v>
      </c>
      <c r="D9" s="75" t="n">
        <v>0</v>
      </c>
      <c r="E9" s="77" t="n"/>
      <c r="F9" s="77" t="n"/>
      <c r="G9" s="77" t="n"/>
      <c r="H9" s="77" t="n"/>
      <c r="I9" s="85">
        <f>IF(OR(G9="",G$9=""),"",G9/G$9)</f>
        <v/>
      </c>
      <c r="J9" s="85">
        <f>IF(OR(F9="",F$9=""),"",F9/F$9)</f>
        <v/>
      </c>
      <c r="K9" s="82" t="n"/>
    </row>
    <row r="10">
      <c r="A10" s="73" t="inlineStr">
        <is>
          <t>Everlight</t>
        </is>
      </c>
      <c r="B10" s="74" t="inlineStr">
        <is>
          <t>bare (ref)</t>
        </is>
      </c>
      <c r="C10" s="75" t="n">
        <v>1</v>
      </c>
      <c r="D10" s="75" t="n">
        <v>15</v>
      </c>
      <c r="E10" s="77" t="n"/>
      <c r="F10" s="77" t="n"/>
      <c r="G10" s="77" t="n"/>
      <c r="H10" s="77" t="n"/>
      <c r="I10" s="85">
        <f>IF(OR(G10="",G$9=""),"",G10/G$9)</f>
        <v/>
      </c>
      <c r="J10" s="85">
        <f>IF(OR(F10="",F$9=""),"",F10/F$9)</f>
        <v/>
      </c>
      <c r="K10" s="82" t="n"/>
    </row>
    <row r="11">
      <c r="A11" s="73" t="inlineStr">
        <is>
          <t>Everlight</t>
        </is>
      </c>
      <c r="B11" s="74" t="inlineStr">
        <is>
          <t>bare (ref)</t>
        </is>
      </c>
      <c r="C11" s="75" t="n">
        <v>1</v>
      </c>
      <c r="D11" s="75" t="n">
        <v>30</v>
      </c>
      <c r="E11" s="77" t="n"/>
      <c r="F11" s="77" t="n"/>
      <c r="G11" s="77" t="n"/>
      <c r="H11" s="77" t="n"/>
      <c r="I11" s="85">
        <f>IF(OR(G11="",G$9=""),"",G11/G$9)</f>
        <v/>
      </c>
      <c r="J11" s="85">
        <f>IF(OR(F11="",F$9=""),"",F11/F$9)</f>
        <v/>
      </c>
      <c r="K11" s="82" t="n"/>
    </row>
    <row r="12">
      <c r="A12" s="73" t="inlineStr">
        <is>
          <t>Everlight</t>
        </is>
      </c>
      <c r="B12" s="74" t="inlineStr">
        <is>
          <t>bare (ref)</t>
        </is>
      </c>
      <c r="C12" s="75" t="n">
        <v>1</v>
      </c>
      <c r="D12" s="75" t="n">
        <v>45</v>
      </c>
      <c r="E12" s="77" t="n"/>
      <c r="F12" s="77" t="n"/>
      <c r="G12" s="77" t="n"/>
      <c r="H12" s="77" t="n"/>
      <c r="I12" s="85">
        <f>IF(OR(G12="",G$9=""),"",G12/G$9)</f>
        <v/>
      </c>
      <c r="J12" s="85">
        <f>IF(OR(F12="",F$9=""),"",F12/F$9)</f>
        <v/>
      </c>
      <c r="K12" s="82" t="n"/>
    </row>
    <row r="13">
      <c r="A13" s="73" t="inlineStr">
        <is>
          <t>Everlight</t>
        </is>
      </c>
      <c r="B13" s="74" t="inlineStr">
        <is>
          <t>bare (ref)</t>
        </is>
      </c>
      <c r="C13" s="75" t="n">
        <v>1</v>
      </c>
      <c r="D13" s="75" t="n">
        <v>60</v>
      </c>
      <c r="E13" s="77" t="n"/>
      <c r="F13" s="77" t="n"/>
      <c r="G13" s="77" t="n"/>
      <c r="H13" s="77" t="n"/>
      <c r="I13" s="85">
        <f>IF(OR(G13="",G$9=""),"",G13/G$9)</f>
        <v/>
      </c>
      <c r="J13" s="85">
        <f>IF(OR(F13="",F$9=""),"",F13/F$9)</f>
        <v/>
      </c>
      <c r="K13" s="82" t="n"/>
    </row>
    <row r="14">
      <c r="A14" s="73" t="inlineStr">
        <is>
          <t>XL</t>
        </is>
      </c>
      <c r="B14" s="74" t="inlineStr">
        <is>
          <t>bare (ref)</t>
        </is>
      </c>
      <c r="C14" s="75" t="n">
        <v>1</v>
      </c>
      <c r="D14" s="75" t="n">
        <v>0</v>
      </c>
      <c r="E14" s="77" t="n"/>
      <c r="F14" s="77" t="n"/>
      <c r="G14" s="77" t="n"/>
      <c r="H14" s="77" t="n"/>
      <c r="I14" s="85">
        <f>IF(OR(G14="",G$14=""),"",G14/G$14)</f>
        <v/>
      </c>
      <c r="J14" s="85">
        <f>IF(OR(F14="",F$14=""),"",F14/F$14)</f>
        <v/>
      </c>
      <c r="K14" s="82" t="n"/>
    </row>
    <row r="15">
      <c r="A15" s="73" t="inlineStr">
        <is>
          <t>XL</t>
        </is>
      </c>
      <c r="B15" s="74" t="inlineStr">
        <is>
          <t>bare (ref)</t>
        </is>
      </c>
      <c r="C15" s="75" t="n">
        <v>1</v>
      </c>
      <c r="D15" s="75" t="n">
        <v>15</v>
      </c>
      <c r="E15" s="77" t="n"/>
      <c r="F15" s="77" t="n"/>
      <c r="G15" s="77" t="n"/>
      <c r="H15" s="77" t="n"/>
      <c r="I15" s="85">
        <f>IF(OR(G15="",G$14=""),"",G15/G$14)</f>
        <v/>
      </c>
      <c r="J15" s="85">
        <f>IF(OR(F15="",F$14=""),"",F15/F$14)</f>
        <v/>
      </c>
      <c r="K15" s="82" t="n"/>
    </row>
    <row r="16">
      <c r="A16" s="73" t="inlineStr">
        <is>
          <t>XL</t>
        </is>
      </c>
      <c r="B16" s="74" t="inlineStr">
        <is>
          <t>bare (ref)</t>
        </is>
      </c>
      <c r="C16" s="75" t="n">
        <v>1</v>
      </c>
      <c r="D16" s="75" t="n">
        <v>30</v>
      </c>
      <c r="E16" s="77" t="n"/>
      <c r="F16" s="77" t="n"/>
      <c r="G16" s="77" t="n"/>
      <c r="H16" s="77" t="n"/>
      <c r="I16" s="85">
        <f>IF(OR(G16="",G$14=""),"",G16/G$14)</f>
        <v/>
      </c>
      <c r="J16" s="85">
        <f>IF(OR(F16="",F$14=""),"",F16/F$14)</f>
        <v/>
      </c>
      <c r="K16" s="82" t="n"/>
    </row>
    <row r="17">
      <c r="A17" s="73" t="inlineStr">
        <is>
          <t>XL</t>
        </is>
      </c>
      <c r="B17" s="74" t="inlineStr">
        <is>
          <t>bare (ref)</t>
        </is>
      </c>
      <c r="C17" s="75" t="n">
        <v>1</v>
      </c>
      <c r="D17" s="75" t="n">
        <v>45</v>
      </c>
      <c r="E17" s="77" t="n"/>
      <c r="F17" s="77" t="n"/>
      <c r="G17" s="77" t="n"/>
      <c r="H17" s="77" t="n"/>
      <c r="I17" s="85">
        <f>IF(OR(G17="",G$14=""),"",G17/G$14)</f>
        <v/>
      </c>
      <c r="J17" s="85">
        <f>IF(OR(F17="",F$14=""),"",F17/F$14)</f>
        <v/>
      </c>
      <c r="K17" s="82" t="n"/>
    </row>
    <row r="18">
      <c r="A18" s="73" t="inlineStr">
        <is>
          <t>XL</t>
        </is>
      </c>
      <c r="B18" s="74" t="inlineStr">
        <is>
          <t>bare (ref)</t>
        </is>
      </c>
      <c r="C18" s="75" t="n">
        <v>1</v>
      </c>
      <c r="D18" s="75" t="n">
        <v>60</v>
      </c>
      <c r="E18" s="77" t="n"/>
      <c r="F18" s="77" t="n"/>
      <c r="G18" s="77" t="n"/>
      <c r="H18" s="77" t="n"/>
      <c r="I18" s="85">
        <f>IF(OR(G18="",G$14=""),"",G18/G$14)</f>
        <v/>
      </c>
      <c r="J18" s="85">
        <f>IF(OR(F18="",F$14=""),"",F18/F$14)</f>
        <v/>
      </c>
      <c r="K18" s="82" t="n"/>
    </row>
    <row r="19">
      <c r="A19" s="73" t="inlineStr">
        <is>
          <t>Kingbright</t>
        </is>
      </c>
      <c r="B19" s="74" t="inlineStr">
        <is>
          <t>bare (ref)</t>
        </is>
      </c>
      <c r="C19" s="75" t="n">
        <v>1</v>
      </c>
      <c r="D19" s="75" t="n">
        <v>0</v>
      </c>
      <c r="E19" s="77" t="n"/>
      <c r="F19" s="77" t="n"/>
      <c r="G19" s="77" t="n"/>
      <c r="H19" s="77" t="n"/>
      <c r="I19" s="85">
        <f>IF(OR(G19="",G$19=""),"",G19/G$19)</f>
        <v/>
      </c>
      <c r="J19" s="85">
        <f>IF(OR(F19="",F$19=""),"",F19/F$19)</f>
        <v/>
      </c>
      <c r="K19" s="82" t="n"/>
    </row>
    <row r="20">
      <c r="A20" s="73" t="inlineStr">
        <is>
          <t>Kingbright</t>
        </is>
      </c>
      <c r="B20" s="74" t="inlineStr">
        <is>
          <t>bare (ref)</t>
        </is>
      </c>
      <c r="C20" s="75" t="n">
        <v>1</v>
      </c>
      <c r="D20" s="75" t="n">
        <v>15</v>
      </c>
      <c r="E20" s="77" t="n"/>
      <c r="F20" s="77" t="n"/>
      <c r="G20" s="77" t="n"/>
      <c r="H20" s="77" t="n"/>
      <c r="I20" s="85">
        <f>IF(OR(G20="",G$19=""),"",G20/G$19)</f>
        <v/>
      </c>
      <c r="J20" s="85">
        <f>IF(OR(F20="",F$19=""),"",F20/F$19)</f>
        <v/>
      </c>
      <c r="K20" s="82" t="n"/>
    </row>
    <row r="21">
      <c r="A21" s="73" t="inlineStr">
        <is>
          <t>Kingbright</t>
        </is>
      </c>
      <c r="B21" s="74" t="inlineStr">
        <is>
          <t>bare (ref)</t>
        </is>
      </c>
      <c r="C21" s="75" t="n">
        <v>1</v>
      </c>
      <c r="D21" s="75" t="n">
        <v>30</v>
      </c>
      <c r="E21" s="77" t="n"/>
      <c r="F21" s="77" t="n"/>
      <c r="G21" s="77" t="n"/>
      <c r="H21" s="77" t="n"/>
      <c r="I21" s="85">
        <f>IF(OR(G21="",G$19=""),"",G21/G$19)</f>
        <v/>
      </c>
      <c r="J21" s="85">
        <f>IF(OR(F21="",F$19=""),"",F21/F$19)</f>
        <v/>
      </c>
      <c r="K21" s="82" t="n"/>
    </row>
    <row r="22">
      <c r="A22" s="73" t="inlineStr">
        <is>
          <t>Kingbright</t>
        </is>
      </c>
      <c r="B22" s="74" t="inlineStr">
        <is>
          <t>bare (ref)</t>
        </is>
      </c>
      <c r="C22" s="75" t="n">
        <v>1</v>
      </c>
      <c r="D22" s="75" t="n">
        <v>45</v>
      </c>
      <c r="E22" s="77" t="n"/>
      <c r="F22" s="77" t="n"/>
      <c r="G22" s="77" t="n"/>
      <c r="H22" s="77" t="n"/>
      <c r="I22" s="85">
        <f>IF(OR(G22="",G$19=""),"",G22/G$19)</f>
        <v/>
      </c>
      <c r="J22" s="85">
        <f>IF(OR(F22="",F$19=""),"",F22/F$19)</f>
        <v/>
      </c>
      <c r="K22" s="82" t="n"/>
    </row>
    <row r="23">
      <c r="A23" s="73" t="inlineStr">
        <is>
          <t>Kingbright</t>
        </is>
      </c>
      <c r="B23" s="74" t="inlineStr">
        <is>
          <t>bare (ref)</t>
        </is>
      </c>
      <c r="C23" s="75" t="n">
        <v>1</v>
      </c>
      <c r="D23" s="75" t="n">
        <v>60</v>
      </c>
      <c r="E23" s="77" t="n"/>
      <c r="F23" s="77" t="n"/>
      <c r="G23" s="77" t="n"/>
      <c r="H23" s="77" t="n"/>
      <c r="I23" s="85">
        <f>IF(OR(G23="",G$19=""),"",G23/G$19)</f>
        <v/>
      </c>
      <c r="J23" s="85">
        <f>IF(OR(F23="",F$19=""),"",F23/F$19)</f>
        <v/>
      </c>
      <c r="K23" s="82" t="n"/>
    </row>
    <row r="24">
      <c r="A24" s="63" t="inlineStr">
        <is>
          <t>Vishay</t>
        </is>
      </c>
      <c r="B24" s="64" t="inlineStr">
        <is>
          <t>20 mm</t>
        </is>
      </c>
      <c r="C24" s="65" t="n">
        <v>1</v>
      </c>
      <c r="D24" s="65" t="n">
        <v>0</v>
      </c>
      <c r="E24" s="67" t="n"/>
      <c r="F24" s="67" t="n"/>
      <c r="G24" s="67" t="n"/>
      <c r="H24" s="67" t="n"/>
      <c r="I24" s="84">
        <f>IF(OR(G24="",G$24=""),"",G24/G$24)</f>
        <v/>
      </c>
      <c r="J24" s="84">
        <f>IF(OR(F24="",F$24=""),"",F24/F$24)</f>
        <v/>
      </c>
      <c r="K24" s="72" t="n"/>
    </row>
    <row r="25">
      <c r="A25" s="73" t="inlineStr">
        <is>
          <t>Vishay</t>
        </is>
      </c>
      <c r="B25" s="74" t="inlineStr">
        <is>
          <t>20 mm</t>
        </is>
      </c>
      <c r="C25" s="75" t="n">
        <v>1</v>
      </c>
      <c r="D25" s="75" t="n">
        <v>15</v>
      </c>
      <c r="E25" s="77" t="n"/>
      <c r="F25" s="77" t="n"/>
      <c r="G25" s="77" t="n"/>
      <c r="H25" s="77" t="n"/>
      <c r="I25" s="85">
        <f>IF(OR(G25="",G$24=""),"",G25/G$24)</f>
        <v/>
      </c>
      <c r="J25" s="85">
        <f>IF(OR(F25="",F$24=""),"",F25/F$24)</f>
        <v/>
      </c>
      <c r="K25" s="82" t="n"/>
    </row>
    <row r="26">
      <c r="A26" s="73" t="inlineStr">
        <is>
          <t>Vishay</t>
        </is>
      </c>
      <c r="B26" s="74" t="inlineStr">
        <is>
          <t>20 mm</t>
        </is>
      </c>
      <c r="C26" s="75" t="n">
        <v>1</v>
      </c>
      <c r="D26" s="75" t="n">
        <v>30</v>
      </c>
      <c r="E26" s="77" t="n"/>
      <c r="F26" s="77" t="n"/>
      <c r="G26" s="77" t="n"/>
      <c r="H26" s="77" t="n"/>
      <c r="I26" s="85">
        <f>IF(OR(G26="",G$24=""),"",G26/G$24)</f>
        <v/>
      </c>
      <c r="J26" s="85">
        <f>IF(OR(F26="",F$24=""),"",F26/F$24)</f>
        <v/>
      </c>
      <c r="K26" s="82" t="n"/>
    </row>
    <row r="27">
      <c r="A27" s="73" t="inlineStr">
        <is>
          <t>Vishay</t>
        </is>
      </c>
      <c r="B27" s="74" t="inlineStr">
        <is>
          <t>20 mm</t>
        </is>
      </c>
      <c r="C27" s="75" t="n">
        <v>1</v>
      </c>
      <c r="D27" s="75" t="n">
        <v>45</v>
      </c>
      <c r="E27" s="77" t="n"/>
      <c r="F27" s="77" t="n"/>
      <c r="G27" s="77" t="n"/>
      <c r="H27" s="77" t="n"/>
      <c r="I27" s="85">
        <f>IF(OR(G27="",G$24=""),"",G27/G$24)</f>
        <v/>
      </c>
      <c r="J27" s="85">
        <f>IF(OR(F27="",F$24=""),"",F27/F$24)</f>
        <v/>
      </c>
      <c r="K27" s="82" t="n"/>
    </row>
    <row r="28">
      <c r="A28" s="73" t="inlineStr">
        <is>
          <t>Vishay</t>
        </is>
      </c>
      <c r="B28" s="74" t="inlineStr">
        <is>
          <t>20 mm</t>
        </is>
      </c>
      <c r="C28" s="75" t="n">
        <v>1</v>
      </c>
      <c r="D28" s="75" t="n">
        <v>60</v>
      </c>
      <c r="E28" s="77" t="n"/>
      <c r="F28" s="77" t="n"/>
      <c r="G28" s="77" t="n"/>
      <c r="H28" s="77" t="n"/>
      <c r="I28" s="85">
        <f>IF(OR(G28="",G$24=""),"",G28/G$24)</f>
        <v/>
      </c>
      <c r="J28" s="85">
        <f>IF(OR(F28="",F$24=""),"",F28/F$24)</f>
        <v/>
      </c>
      <c r="K28" s="82" t="n"/>
    </row>
    <row r="29">
      <c r="A29" s="73" t="inlineStr">
        <is>
          <t>Everlight</t>
        </is>
      </c>
      <c r="B29" s="74" t="inlineStr">
        <is>
          <t>20 mm</t>
        </is>
      </c>
      <c r="C29" s="75" t="n">
        <v>1</v>
      </c>
      <c r="D29" s="75" t="n">
        <v>0</v>
      </c>
      <c r="E29" s="77" t="n"/>
      <c r="F29" s="77" t="n"/>
      <c r="G29" s="77" t="n"/>
      <c r="H29" s="77" t="n"/>
      <c r="I29" s="85">
        <f>IF(OR(G29="",G$29=""),"",G29/G$29)</f>
        <v/>
      </c>
      <c r="J29" s="85">
        <f>IF(OR(F29="",F$29=""),"",F29/F$29)</f>
        <v/>
      </c>
      <c r="K29" s="82" t="n"/>
    </row>
    <row r="30">
      <c r="A30" s="73" t="inlineStr">
        <is>
          <t>Everlight</t>
        </is>
      </c>
      <c r="B30" s="74" t="inlineStr">
        <is>
          <t>20 mm</t>
        </is>
      </c>
      <c r="C30" s="75" t="n">
        <v>1</v>
      </c>
      <c r="D30" s="75" t="n">
        <v>15</v>
      </c>
      <c r="E30" s="77" t="n"/>
      <c r="F30" s="77" t="n"/>
      <c r="G30" s="77" t="n"/>
      <c r="H30" s="77" t="n"/>
      <c r="I30" s="85">
        <f>IF(OR(G30="",G$29=""),"",G30/G$29)</f>
        <v/>
      </c>
      <c r="J30" s="85">
        <f>IF(OR(F30="",F$29=""),"",F30/F$29)</f>
        <v/>
      </c>
      <c r="K30" s="82" t="n"/>
    </row>
    <row r="31">
      <c r="A31" s="73" t="inlineStr">
        <is>
          <t>Everlight</t>
        </is>
      </c>
      <c r="B31" s="74" t="inlineStr">
        <is>
          <t>20 mm</t>
        </is>
      </c>
      <c r="C31" s="75" t="n">
        <v>1</v>
      </c>
      <c r="D31" s="75" t="n">
        <v>30</v>
      </c>
      <c r="E31" s="77" t="n"/>
      <c r="F31" s="77" t="n"/>
      <c r="G31" s="77" t="n"/>
      <c r="H31" s="77" t="n"/>
      <c r="I31" s="85">
        <f>IF(OR(G31="",G$29=""),"",G31/G$29)</f>
        <v/>
      </c>
      <c r="J31" s="85">
        <f>IF(OR(F31="",F$29=""),"",F31/F$29)</f>
        <v/>
      </c>
      <c r="K31" s="82" t="n"/>
    </row>
    <row r="32">
      <c r="A32" s="73" t="inlineStr">
        <is>
          <t>Everlight</t>
        </is>
      </c>
      <c r="B32" s="74" t="inlineStr">
        <is>
          <t>20 mm</t>
        </is>
      </c>
      <c r="C32" s="75" t="n">
        <v>1</v>
      </c>
      <c r="D32" s="75" t="n">
        <v>45</v>
      </c>
      <c r="E32" s="77" t="n"/>
      <c r="F32" s="77" t="n"/>
      <c r="G32" s="77" t="n"/>
      <c r="H32" s="77" t="n"/>
      <c r="I32" s="85">
        <f>IF(OR(G32="",G$29=""),"",G32/G$29)</f>
        <v/>
      </c>
      <c r="J32" s="85">
        <f>IF(OR(F32="",F$29=""),"",F32/F$29)</f>
        <v/>
      </c>
      <c r="K32" s="82" t="n"/>
    </row>
    <row r="33">
      <c r="A33" s="73" t="inlineStr">
        <is>
          <t>Everlight</t>
        </is>
      </c>
      <c r="B33" s="74" t="inlineStr">
        <is>
          <t>20 mm</t>
        </is>
      </c>
      <c r="C33" s="75" t="n">
        <v>1</v>
      </c>
      <c r="D33" s="75" t="n">
        <v>60</v>
      </c>
      <c r="E33" s="77" t="n"/>
      <c r="F33" s="77" t="n"/>
      <c r="G33" s="77" t="n"/>
      <c r="H33" s="77" t="n"/>
      <c r="I33" s="85">
        <f>IF(OR(G33="",G$29=""),"",G33/G$29)</f>
        <v/>
      </c>
      <c r="J33" s="85">
        <f>IF(OR(F33="",F$29=""),"",F33/F$29)</f>
        <v/>
      </c>
      <c r="K33" s="82" t="n"/>
    </row>
    <row r="34">
      <c r="A34" s="73" t="inlineStr">
        <is>
          <t>XL</t>
        </is>
      </c>
      <c r="B34" s="74" t="inlineStr">
        <is>
          <t>20 mm</t>
        </is>
      </c>
      <c r="C34" s="75" t="n">
        <v>1</v>
      </c>
      <c r="D34" s="75" t="n">
        <v>0</v>
      </c>
      <c r="E34" s="77" t="n"/>
      <c r="F34" s="77" t="n"/>
      <c r="G34" s="77" t="n"/>
      <c r="H34" s="77" t="n"/>
      <c r="I34" s="85">
        <f>IF(OR(G34="",G$34=""),"",G34/G$34)</f>
        <v/>
      </c>
      <c r="J34" s="85">
        <f>IF(OR(F34="",F$34=""),"",F34/F$34)</f>
        <v/>
      </c>
      <c r="K34" s="82" t="n"/>
    </row>
    <row r="35">
      <c r="A35" s="73" t="inlineStr">
        <is>
          <t>XL</t>
        </is>
      </c>
      <c r="B35" s="74" t="inlineStr">
        <is>
          <t>20 mm</t>
        </is>
      </c>
      <c r="C35" s="75" t="n">
        <v>1</v>
      </c>
      <c r="D35" s="75" t="n">
        <v>15</v>
      </c>
      <c r="E35" s="77" t="n"/>
      <c r="F35" s="77" t="n"/>
      <c r="G35" s="77" t="n"/>
      <c r="H35" s="77" t="n"/>
      <c r="I35" s="85">
        <f>IF(OR(G35="",G$34=""),"",G35/G$34)</f>
        <v/>
      </c>
      <c r="J35" s="85">
        <f>IF(OR(F35="",F$34=""),"",F35/F$34)</f>
        <v/>
      </c>
      <c r="K35" s="82" t="n"/>
    </row>
    <row r="36">
      <c r="A36" s="73" t="inlineStr">
        <is>
          <t>XL</t>
        </is>
      </c>
      <c r="B36" s="74" t="inlineStr">
        <is>
          <t>20 mm</t>
        </is>
      </c>
      <c r="C36" s="75" t="n">
        <v>1</v>
      </c>
      <c r="D36" s="75" t="n">
        <v>30</v>
      </c>
      <c r="E36" s="77" t="n"/>
      <c r="F36" s="77" t="n"/>
      <c r="G36" s="77" t="n"/>
      <c r="H36" s="77" t="n"/>
      <c r="I36" s="85">
        <f>IF(OR(G36="",G$34=""),"",G36/G$34)</f>
        <v/>
      </c>
      <c r="J36" s="85">
        <f>IF(OR(F36="",F$34=""),"",F36/F$34)</f>
        <v/>
      </c>
      <c r="K36" s="82" t="n"/>
    </row>
    <row r="37">
      <c r="A37" s="73" t="inlineStr">
        <is>
          <t>XL</t>
        </is>
      </c>
      <c r="B37" s="74" t="inlineStr">
        <is>
          <t>20 mm</t>
        </is>
      </c>
      <c r="C37" s="75" t="n">
        <v>1</v>
      </c>
      <c r="D37" s="75" t="n">
        <v>45</v>
      </c>
      <c r="E37" s="77" t="n"/>
      <c r="F37" s="77" t="n"/>
      <c r="G37" s="77" t="n"/>
      <c r="H37" s="77" t="n"/>
      <c r="I37" s="85">
        <f>IF(OR(G37="",G$34=""),"",G37/G$34)</f>
        <v/>
      </c>
      <c r="J37" s="85">
        <f>IF(OR(F37="",F$34=""),"",F37/F$34)</f>
        <v/>
      </c>
      <c r="K37" s="82" t="n"/>
    </row>
    <row r="38">
      <c r="A38" s="73" t="inlineStr">
        <is>
          <t>XL</t>
        </is>
      </c>
      <c r="B38" s="74" t="inlineStr">
        <is>
          <t>20 mm</t>
        </is>
      </c>
      <c r="C38" s="75" t="n">
        <v>1</v>
      </c>
      <c r="D38" s="75" t="n">
        <v>60</v>
      </c>
      <c r="E38" s="77" t="n"/>
      <c r="F38" s="77" t="n"/>
      <c r="G38" s="77" t="n"/>
      <c r="H38" s="77" t="n"/>
      <c r="I38" s="85">
        <f>IF(OR(G38="",G$34=""),"",G38/G$34)</f>
        <v/>
      </c>
      <c r="J38" s="85">
        <f>IF(OR(F38="",F$34=""),"",F38/F$34)</f>
        <v/>
      </c>
      <c r="K38" s="82" t="n"/>
    </row>
    <row r="39">
      <c r="A39" s="73" t="inlineStr">
        <is>
          <t>Kingbright</t>
        </is>
      </c>
      <c r="B39" s="74" t="inlineStr">
        <is>
          <t>20 mm</t>
        </is>
      </c>
      <c r="C39" s="75" t="n">
        <v>1</v>
      </c>
      <c r="D39" s="75" t="n">
        <v>0</v>
      </c>
      <c r="E39" s="77" t="n"/>
      <c r="F39" s="77" t="n"/>
      <c r="G39" s="77" t="n"/>
      <c r="H39" s="77" t="n"/>
      <c r="I39" s="85">
        <f>IF(OR(G39="",G$39=""),"",G39/G$39)</f>
        <v/>
      </c>
      <c r="J39" s="85">
        <f>IF(OR(F39="",F$39=""),"",F39/F$39)</f>
        <v/>
      </c>
      <c r="K39" s="82" t="n"/>
    </row>
    <row r="40">
      <c r="A40" s="73" t="inlineStr">
        <is>
          <t>Kingbright</t>
        </is>
      </c>
      <c r="B40" s="74" t="inlineStr">
        <is>
          <t>20 mm</t>
        </is>
      </c>
      <c r="C40" s="75" t="n">
        <v>1</v>
      </c>
      <c r="D40" s="75" t="n">
        <v>15</v>
      </c>
      <c r="E40" s="77" t="n"/>
      <c r="F40" s="77" t="n"/>
      <c r="G40" s="77" t="n"/>
      <c r="H40" s="77" t="n"/>
      <c r="I40" s="85">
        <f>IF(OR(G40="",G$39=""),"",G40/G$39)</f>
        <v/>
      </c>
      <c r="J40" s="85">
        <f>IF(OR(F40="",F$39=""),"",F40/F$39)</f>
        <v/>
      </c>
      <c r="K40" s="82" t="n"/>
    </row>
    <row r="41">
      <c r="A41" s="73" t="inlineStr">
        <is>
          <t>Kingbright</t>
        </is>
      </c>
      <c r="B41" s="74" t="inlineStr">
        <is>
          <t>20 mm</t>
        </is>
      </c>
      <c r="C41" s="75" t="n">
        <v>1</v>
      </c>
      <c r="D41" s="75" t="n">
        <v>30</v>
      </c>
      <c r="E41" s="77" t="n"/>
      <c r="F41" s="77" t="n"/>
      <c r="G41" s="77" t="n"/>
      <c r="H41" s="77" t="n"/>
      <c r="I41" s="85">
        <f>IF(OR(G41="",G$39=""),"",G41/G$39)</f>
        <v/>
      </c>
      <c r="J41" s="85">
        <f>IF(OR(F41="",F$39=""),"",F41/F$39)</f>
        <v/>
      </c>
      <c r="K41" s="82" t="n"/>
    </row>
    <row r="42">
      <c r="A42" s="73" t="inlineStr">
        <is>
          <t>Kingbright</t>
        </is>
      </c>
      <c r="B42" s="74" t="inlineStr">
        <is>
          <t>20 mm</t>
        </is>
      </c>
      <c r="C42" s="75" t="n">
        <v>1</v>
      </c>
      <c r="D42" s="75" t="n">
        <v>45</v>
      </c>
      <c r="E42" s="77" t="n"/>
      <c r="F42" s="77" t="n"/>
      <c r="G42" s="77" t="n"/>
      <c r="H42" s="77" t="n"/>
      <c r="I42" s="85">
        <f>IF(OR(G42="",G$39=""),"",G42/G$39)</f>
        <v/>
      </c>
      <c r="J42" s="85">
        <f>IF(OR(F42="",F$39=""),"",F42/F$39)</f>
        <v/>
      </c>
      <c r="K42" s="82" t="n"/>
    </row>
    <row r="43">
      <c r="A43" s="73" t="inlineStr">
        <is>
          <t>Kingbright</t>
        </is>
      </c>
      <c r="B43" s="74" t="inlineStr">
        <is>
          <t>20 mm</t>
        </is>
      </c>
      <c r="C43" s="75" t="n">
        <v>1</v>
      </c>
      <c r="D43" s="75" t="n">
        <v>60</v>
      </c>
      <c r="E43" s="77" t="n"/>
      <c r="F43" s="77" t="n"/>
      <c r="G43" s="77" t="n"/>
      <c r="H43" s="77" t="n"/>
      <c r="I43" s="85">
        <f>IF(OR(G43="",G$39=""),"",G43/G$39)</f>
        <v/>
      </c>
      <c r="J43" s="85">
        <f>IF(OR(F43="",F$39=""),"",F43/F$39)</f>
        <v/>
      </c>
      <c r="K43" s="82" t="n"/>
    </row>
    <row r="44">
      <c r="A44" s="63" t="inlineStr">
        <is>
          <t>Vishay</t>
        </is>
      </c>
      <c r="B44" s="64" t="inlineStr">
        <is>
          <t>25 mm</t>
        </is>
      </c>
      <c r="C44" s="65" t="n">
        <v>1</v>
      </c>
      <c r="D44" s="65" t="n">
        <v>0</v>
      </c>
      <c r="E44" s="67" t="n"/>
      <c r="F44" s="67" t="n"/>
      <c r="G44" s="67" t="n"/>
      <c r="H44" s="67" t="n"/>
      <c r="I44" s="84">
        <f>IF(OR(G44="",G$44=""),"",G44/G$44)</f>
        <v/>
      </c>
      <c r="J44" s="84">
        <f>IF(OR(F44="",F$44=""),"",F44/F$44)</f>
        <v/>
      </c>
      <c r="K44" s="72" t="n"/>
    </row>
    <row r="45">
      <c r="A45" s="73" t="inlineStr">
        <is>
          <t>Vishay</t>
        </is>
      </c>
      <c r="B45" s="74" t="inlineStr">
        <is>
          <t>25 mm</t>
        </is>
      </c>
      <c r="C45" s="75" t="n">
        <v>1</v>
      </c>
      <c r="D45" s="75" t="n">
        <v>15</v>
      </c>
      <c r="E45" s="77" t="n"/>
      <c r="F45" s="77" t="n"/>
      <c r="G45" s="77" t="n"/>
      <c r="H45" s="77" t="n"/>
      <c r="I45" s="85">
        <f>IF(OR(G45="",G$44=""),"",G45/G$44)</f>
        <v/>
      </c>
      <c r="J45" s="85">
        <f>IF(OR(F45="",F$44=""),"",F45/F$44)</f>
        <v/>
      </c>
      <c r="K45" s="82" t="n"/>
    </row>
    <row r="46">
      <c r="A46" s="73" t="inlineStr">
        <is>
          <t>Vishay</t>
        </is>
      </c>
      <c r="B46" s="74" t="inlineStr">
        <is>
          <t>25 mm</t>
        </is>
      </c>
      <c r="C46" s="75" t="n">
        <v>1</v>
      </c>
      <c r="D46" s="75" t="n">
        <v>30</v>
      </c>
      <c r="E46" s="77" t="n"/>
      <c r="F46" s="77" t="n"/>
      <c r="G46" s="77" t="n"/>
      <c r="H46" s="77" t="n"/>
      <c r="I46" s="85">
        <f>IF(OR(G46="",G$44=""),"",G46/G$44)</f>
        <v/>
      </c>
      <c r="J46" s="85">
        <f>IF(OR(F46="",F$44=""),"",F46/F$44)</f>
        <v/>
      </c>
      <c r="K46" s="82" t="n"/>
    </row>
    <row r="47">
      <c r="A47" s="73" t="inlineStr">
        <is>
          <t>Vishay</t>
        </is>
      </c>
      <c r="B47" s="74" t="inlineStr">
        <is>
          <t>25 mm</t>
        </is>
      </c>
      <c r="C47" s="75" t="n">
        <v>1</v>
      </c>
      <c r="D47" s="75" t="n">
        <v>45</v>
      </c>
      <c r="E47" s="77" t="n"/>
      <c r="F47" s="77" t="n"/>
      <c r="G47" s="77" t="n"/>
      <c r="H47" s="77" t="n"/>
      <c r="I47" s="85">
        <f>IF(OR(G47="",G$44=""),"",G47/G$44)</f>
        <v/>
      </c>
      <c r="J47" s="85">
        <f>IF(OR(F47="",F$44=""),"",F47/F$44)</f>
        <v/>
      </c>
      <c r="K47" s="82" t="n"/>
    </row>
    <row r="48">
      <c r="A48" s="73" t="inlineStr">
        <is>
          <t>Vishay</t>
        </is>
      </c>
      <c r="B48" s="74" t="inlineStr">
        <is>
          <t>25 mm</t>
        </is>
      </c>
      <c r="C48" s="75" t="n">
        <v>1</v>
      </c>
      <c r="D48" s="75" t="n">
        <v>60</v>
      </c>
      <c r="E48" s="77" t="n"/>
      <c r="F48" s="77" t="n"/>
      <c r="G48" s="77" t="n"/>
      <c r="H48" s="77" t="n"/>
      <c r="I48" s="85">
        <f>IF(OR(G48="",G$44=""),"",G48/G$44)</f>
        <v/>
      </c>
      <c r="J48" s="85">
        <f>IF(OR(F48="",F$44=""),"",F48/F$44)</f>
        <v/>
      </c>
      <c r="K48" s="82" t="n"/>
    </row>
    <row r="49">
      <c r="A49" s="73" t="inlineStr">
        <is>
          <t>Everlight</t>
        </is>
      </c>
      <c r="B49" s="74" t="inlineStr">
        <is>
          <t>25 mm</t>
        </is>
      </c>
      <c r="C49" s="75" t="n">
        <v>1</v>
      </c>
      <c r="D49" s="75" t="n">
        <v>0</v>
      </c>
      <c r="E49" s="77" t="n"/>
      <c r="F49" s="77" t="n"/>
      <c r="G49" s="77" t="n"/>
      <c r="H49" s="77" t="n"/>
      <c r="I49" s="85">
        <f>IF(OR(G49="",G$49=""),"",G49/G$49)</f>
        <v/>
      </c>
      <c r="J49" s="85">
        <f>IF(OR(F49="",F$49=""),"",F49/F$49)</f>
        <v/>
      </c>
      <c r="K49" s="82" t="n"/>
    </row>
    <row r="50">
      <c r="A50" s="73" t="inlineStr">
        <is>
          <t>Everlight</t>
        </is>
      </c>
      <c r="B50" s="74" t="inlineStr">
        <is>
          <t>25 mm</t>
        </is>
      </c>
      <c r="C50" s="75" t="n">
        <v>1</v>
      </c>
      <c r="D50" s="75" t="n">
        <v>15</v>
      </c>
      <c r="E50" s="77" t="n"/>
      <c r="F50" s="77" t="n"/>
      <c r="G50" s="77" t="n"/>
      <c r="H50" s="77" t="n"/>
      <c r="I50" s="85">
        <f>IF(OR(G50="",G$49=""),"",G50/G$49)</f>
        <v/>
      </c>
      <c r="J50" s="85">
        <f>IF(OR(F50="",F$49=""),"",F50/F$49)</f>
        <v/>
      </c>
      <c r="K50" s="82" t="n"/>
    </row>
    <row r="51">
      <c r="A51" s="73" t="inlineStr">
        <is>
          <t>Everlight</t>
        </is>
      </c>
      <c r="B51" s="74" t="inlineStr">
        <is>
          <t>25 mm</t>
        </is>
      </c>
      <c r="C51" s="75" t="n">
        <v>1</v>
      </c>
      <c r="D51" s="75" t="n">
        <v>30</v>
      </c>
      <c r="E51" s="77" t="n"/>
      <c r="F51" s="77" t="n"/>
      <c r="G51" s="77" t="n"/>
      <c r="H51" s="77" t="n"/>
      <c r="I51" s="85">
        <f>IF(OR(G51="",G$49=""),"",G51/G$49)</f>
        <v/>
      </c>
      <c r="J51" s="85">
        <f>IF(OR(F51="",F$49=""),"",F51/F$49)</f>
        <v/>
      </c>
      <c r="K51" s="82" t="n"/>
    </row>
    <row r="52">
      <c r="A52" s="73" t="inlineStr">
        <is>
          <t>Everlight</t>
        </is>
      </c>
      <c r="B52" s="74" t="inlineStr">
        <is>
          <t>25 mm</t>
        </is>
      </c>
      <c r="C52" s="75" t="n">
        <v>1</v>
      </c>
      <c r="D52" s="75" t="n">
        <v>45</v>
      </c>
      <c r="E52" s="77" t="n"/>
      <c r="F52" s="77" t="n"/>
      <c r="G52" s="77" t="n"/>
      <c r="H52" s="77" t="n"/>
      <c r="I52" s="85">
        <f>IF(OR(G52="",G$49=""),"",G52/G$49)</f>
        <v/>
      </c>
      <c r="J52" s="85">
        <f>IF(OR(F52="",F$49=""),"",F52/F$49)</f>
        <v/>
      </c>
      <c r="K52" s="82" t="n"/>
    </row>
    <row r="53">
      <c r="A53" s="73" t="inlineStr">
        <is>
          <t>Everlight</t>
        </is>
      </c>
      <c r="B53" s="74" t="inlineStr">
        <is>
          <t>25 mm</t>
        </is>
      </c>
      <c r="C53" s="75" t="n">
        <v>1</v>
      </c>
      <c r="D53" s="75" t="n">
        <v>60</v>
      </c>
      <c r="E53" s="77" t="n"/>
      <c r="F53" s="77" t="n"/>
      <c r="G53" s="77" t="n"/>
      <c r="H53" s="77" t="n"/>
      <c r="I53" s="85">
        <f>IF(OR(G53="",G$49=""),"",G53/G$49)</f>
        <v/>
      </c>
      <c r="J53" s="85">
        <f>IF(OR(F53="",F$49=""),"",F53/F$49)</f>
        <v/>
      </c>
      <c r="K53" s="82" t="n"/>
    </row>
    <row r="54">
      <c r="A54" s="73" t="inlineStr">
        <is>
          <t>XL</t>
        </is>
      </c>
      <c r="B54" s="74" t="inlineStr">
        <is>
          <t>25 mm</t>
        </is>
      </c>
      <c r="C54" s="75" t="n">
        <v>1</v>
      </c>
      <c r="D54" s="75" t="n">
        <v>0</v>
      </c>
      <c r="E54" s="77" t="n"/>
      <c r="F54" s="77" t="n"/>
      <c r="G54" s="77" t="n"/>
      <c r="H54" s="77" t="n"/>
      <c r="I54" s="85">
        <f>IF(OR(G54="",G$54=""),"",G54/G$54)</f>
        <v/>
      </c>
      <c r="J54" s="85">
        <f>IF(OR(F54="",F$54=""),"",F54/F$54)</f>
        <v/>
      </c>
      <c r="K54" s="82" t="n"/>
    </row>
    <row r="55">
      <c r="A55" s="73" t="inlineStr">
        <is>
          <t>XL</t>
        </is>
      </c>
      <c r="B55" s="74" t="inlineStr">
        <is>
          <t>25 mm</t>
        </is>
      </c>
      <c r="C55" s="75" t="n">
        <v>1</v>
      </c>
      <c r="D55" s="75" t="n">
        <v>15</v>
      </c>
      <c r="E55" s="77" t="n"/>
      <c r="F55" s="77" t="n"/>
      <c r="G55" s="77" t="n"/>
      <c r="H55" s="77" t="n"/>
      <c r="I55" s="85">
        <f>IF(OR(G55="",G$54=""),"",G55/G$54)</f>
        <v/>
      </c>
      <c r="J55" s="85">
        <f>IF(OR(F55="",F$54=""),"",F55/F$54)</f>
        <v/>
      </c>
      <c r="K55" s="82" t="n"/>
    </row>
    <row r="56">
      <c r="A56" s="73" t="inlineStr">
        <is>
          <t>XL</t>
        </is>
      </c>
      <c r="B56" s="74" t="inlineStr">
        <is>
          <t>25 mm</t>
        </is>
      </c>
      <c r="C56" s="75" t="n">
        <v>1</v>
      </c>
      <c r="D56" s="75" t="n">
        <v>30</v>
      </c>
      <c r="E56" s="77" t="n"/>
      <c r="F56" s="77" t="n"/>
      <c r="G56" s="77" t="n"/>
      <c r="H56" s="77" t="n"/>
      <c r="I56" s="85">
        <f>IF(OR(G56="",G$54=""),"",G56/G$54)</f>
        <v/>
      </c>
      <c r="J56" s="85">
        <f>IF(OR(F56="",F$54=""),"",F56/F$54)</f>
        <v/>
      </c>
      <c r="K56" s="82" t="n"/>
    </row>
    <row r="57">
      <c r="A57" s="73" t="inlineStr">
        <is>
          <t>XL</t>
        </is>
      </c>
      <c r="B57" s="74" t="inlineStr">
        <is>
          <t>25 mm</t>
        </is>
      </c>
      <c r="C57" s="75" t="n">
        <v>1</v>
      </c>
      <c r="D57" s="75" t="n">
        <v>45</v>
      </c>
      <c r="E57" s="77" t="n"/>
      <c r="F57" s="77" t="n"/>
      <c r="G57" s="77" t="n"/>
      <c r="H57" s="77" t="n"/>
      <c r="I57" s="85">
        <f>IF(OR(G57="",G$54=""),"",G57/G$54)</f>
        <v/>
      </c>
      <c r="J57" s="85">
        <f>IF(OR(F57="",F$54=""),"",F57/F$54)</f>
        <v/>
      </c>
      <c r="K57" s="82" t="n"/>
    </row>
    <row r="58">
      <c r="A58" s="73" t="inlineStr">
        <is>
          <t>XL</t>
        </is>
      </c>
      <c r="B58" s="74" t="inlineStr">
        <is>
          <t>25 mm</t>
        </is>
      </c>
      <c r="C58" s="75" t="n">
        <v>1</v>
      </c>
      <c r="D58" s="75" t="n">
        <v>60</v>
      </c>
      <c r="E58" s="77" t="n"/>
      <c r="F58" s="77" t="n"/>
      <c r="G58" s="77" t="n"/>
      <c r="H58" s="77" t="n"/>
      <c r="I58" s="85">
        <f>IF(OR(G58="",G$54=""),"",G58/G$54)</f>
        <v/>
      </c>
      <c r="J58" s="85">
        <f>IF(OR(F58="",F$54=""),"",F58/F$54)</f>
        <v/>
      </c>
      <c r="K58" s="82" t="n"/>
    </row>
    <row r="59">
      <c r="A59" s="73" t="inlineStr">
        <is>
          <t>Kingbright</t>
        </is>
      </c>
      <c r="B59" s="74" t="inlineStr">
        <is>
          <t>25 mm</t>
        </is>
      </c>
      <c r="C59" s="75" t="n">
        <v>1</v>
      </c>
      <c r="D59" s="75" t="n">
        <v>0</v>
      </c>
      <c r="E59" s="77" t="n"/>
      <c r="F59" s="77" t="n"/>
      <c r="G59" s="77" t="n"/>
      <c r="H59" s="77" t="n"/>
      <c r="I59" s="85">
        <f>IF(OR(G59="",G$59=""),"",G59/G$59)</f>
        <v/>
      </c>
      <c r="J59" s="85">
        <f>IF(OR(F59="",F$59=""),"",F59/F$59)</f>
        <v/>
      </c>
      <c r="K59" s="82" t="n"/>
    </row>
    <row r="60">
      <c r="A60" s="73" t="inlineStr">
        <is>
          <t>Kingbright</t>
        </is>
      </c>
      <c r="B60" s="74" t="inlineStr">
        <is>
          <t>25 mm</t>
        </is>
      </c>
      <c r="C60" s="75" t="n">
        <v>1</v>
      </c>
      <c r="D60" s="75" t="n">
        <v>15</v>
      </c>
      <c r="E60" s="77" t="n"/>
      <c r="F60" s="77" t="n"/>
      <c r="G60" s="77" t="n"/>
      <c r="H60" s="77" t="n"/>
      <c r="I60" s="85">
        <f>IF(OR(G60="",G$59=""),"",G60/G$59)</f>
        <v/>
      </c>
      <c r="J60" s="85">
        <f>IF(OR(F60="",F$59=""),"",F60/F$59)</f>
        <v/>
      </c>
      <c r="K60" s="82" t="n"/>
    </row>
    <row r="61">
      <c r="A61" s="73" t="inlineStr">
        <is>
          <t>Kingbright</t>
        </is>
      </c>
      <c r="B61" s="74" t="inlineStr">
        <is>
          <t>25 mm</t>
        </is>
      </c>
      <c r="C61" s="75" t="n">
        <v>1</v>
      </c>
      <c r="D61" s="75" t="n">
        <v>30</v>
      </c>
      <c r="E61" s="77" t="n"/>
      <c r="F61" s="77" t="n"/>
      <c r="G61" s="77" t="n"/>
      <c r="H61" s="77" t="n"/>
      <c r="I61" s="85">
        <f>IF(OR(G61="",G$59=""),"",G61/G$59)</f>
        <v/>
      </c>
      <c r="J61" s="85">
        <f>IF(OR(F61="",F$59=""),"",F61/F$59)</f>
        <v/>
      </c>
      <c r="K61" s="82" t="n"/>
    </row>
    <row r="62">
      <c r="A62" s="73" t="inlineStr">
        <is>
          <t>Kingbright</t>
        </is>
      </c>
      <c r="B62" s="74" t="inlineStr">
        <is>
          <t>25 mm</t>
        </is>
      </c>
      <c r="C62" s="75" t="n">
        <v>1</v>
      </c>
      <c r="D62" s="75" t="n">
        <v>45</v>
      </c>
      <c r="E62" s="77" t="n"/>
      <c r="F62" s="77" t="n"/>
      <c r="G62" s="77" t="n"/>
      <c r="H62" s="77" t="n"/>
      <c r="I62" s="85">
        <f>IF(OR(G62="",G$59=""),"",G62/G$59)</f>
        <v/>
      </c>
      <c r="J62" s="85">
        <f>IF(OR(F62="",F$59=""),"",F62/F$59)</f>
        <v/>
      </c>
      <c r="K62" s="82" t="n"/>
    </row>
    <row r="63">
      <c r="A63" s="73" t="inlineStr">
        <is>
          <t>Kingbright</t>
        </is>
      </c>
      <c r="B63" s="74" t="inlineStr">
        <is>
          <t>25 mm</t>
        </is>
      </c>
      <c r="C63" s="75" t="n">
        <v>1</v>
      </c>
      <c r="D63" s="75" t="n">
        <v>60</v>
      </c>
      <c r="E63" s="77" t="n"/>
      <c r="F63" s="77" t="n"/>
      <c r="G63" s="77" t="n"/>
      <c r="H63" s="77" t="n"/>
      <c r="I63" s="85">
        <f>IF(OR(G63="",G$59=""),"",G63/G$59)</f>
        <v/>
      </c>
      <c r="J63" s="85">
        <f>IF(OR(F63="",F$59=""),"",F63/F$59)</f>
        <v/>
      </c>
      <c r="K63" s="82" t="n"/>
    </row>
    <row r="65">
      <c r="A65" s="86" t="inlineStr">
        <is>
          <t>ROLL - rotate the marker about its OWN axis. This is the 20 vs 25 mm decider.</t>
        </is>
      </c>
    </row>
    <row r="66">
      <c r="A66" s="55" t="inlineStr">
        <is>
          <t>Four LEDs at 90 deg spacing, so 0 deg (facing one LED) and 45 deg (between two) are the extremes. MODE="measure" -&gt; record the printed mean u, mean v and blobs_max. Rotate in place: any translation reads as false bias.</t>
        </is>
      </c>
    </row>
    <row r="67" ht="30" customHeight="1">
      <c r="A67" s="56" t="inlineStr">
        <is>
          <t>LED Type</t>
        </is>
      </c>
      <c r="B67" s="56" t="inlineStr">
        <is>
          <t>Build</t>
        </is>
      </c>
      <c r="C67" s="56" t="inlineStr">
        <is>
          <t>Sample</t>
        </is>
      </c>
      <c r="D67" s="56" t="inlineStr">
        <is>
          <t>Roll
(deg)</t>
        </is>
      </c>
      <c r="E67" s="56" t="inlineStr">
        <is>
          <t>Exposure
(us)</t>
        </is>
      </c>
      <c r="F67" s="56" t="inlineStr">
        <is>
          <t>Peak
(0-255)</t>
        </is>
      </c>
      <c r="G67" s="56" t="inlineStr">
        <is>
          <t>mean u
(px)</t>
        </is>
      </c>
      <c r="H67" s="56" t="inlineStr">
        <is>
          <t>mean v
(px)</t>
        </is>
      </c>
      <c r="I67" s="56" t="inlineStr">
        <is>
          <t>blobs_max</t>
        </is>
      </c>
      <c r="J67" s="56" t="inlineStr">
        <is>
          <t>Shift vs
roll 0 (px)</t>
        </is>
      </c>
      <c r="K67" s="56" t="inlineStr">
        <is>
          <t>Notes</t>
        </is>
      </c>
    </row>
    <row r="68">
      <c r="A68" s="63" t="inlineStr">
        <is>
          <t>Vishay</t>
        </is>
      </c>
      <c r="B68" s="64" t="inlineStr">
        <is>
          <t>20 mm</t>
        </is>
      </c>
      <c r="C68" s="65" t="n">
        <v>1</v>
      </c>
      <c r="D68" s="66" t="n">
        <v>0</v>
      </c>
      <c r="E68" s="67" t="n"/>
      <c r="F68" s="67" t="n"/>
      <c r="G68" s="87" t="n"/>
      <c r="H68" s="87" t="n"/>
      <c r="I68" s="67" t="n"/>
      <c r="J68" s="88">
        <f>IF(OR(G68="",H68="",G$68="",H$68=""),"",SQRT((G68-G$68)^2+(H68-H$68)^2))</f>
        <v/>
      </c>
      <c r="K68" s="72" t="n"/>
    </row>
    <row r="69">
      <c r="A69" s="73" t="inlineStr">
        <is>
          <t>Vishay</t>
        </is>
      </c>
      <c r="B69" s="74" t="inlineStr">
        <is>
          <t>20 mm</t>
        </is>
      </c>
      <c r="C69" s="75" t="n">
        <v>1</v>
      </c>
      <c r="D69" s="76" t="n">
        <v>22.5</v>
      </c>
      <c r="E69" s="77" t="n"/>
      <c r="F69" s="77" t="n"/>
      <c r="G69" s="89" t="n"/>
      <c r="H69" s="89" t="n"/>
      <c r="I69" s="77" t="n"/>
      <c r="J69" s="90">
        <f>IF(OR(G69="",H69="",G$68="",H$68=""),"",SQRT((G69-G$68)^2+(H69-H$68)^2))</f>
        <v/>
      </c>
      <c r="K69" s="82" t="n"/>
    </row>
    <row r="70">
      <c r="A70" s="73" t="inlineStr">
        <is>
          <t>Vishay</t>
        </is>
      </c>
      <c r="B70" s="74" t="inlineStr">
        <is>
          <t>20 mm</t>
        </is>
      </c>
      <c r="C70" s="75" t="n">
        <v>1</v>
      </c>
      <c r="D70" s="76" t="n">
        <v>45</v>
      </c>
      <c r="E70" s="77" t="n"/>
      <c r="F70" s="77" t="n"/>
      <c r="G70" s="89" t="n"/>
      <c r="H70" s="89" t="n"/>
      <c r="I70" s="77" t="n"/>
      <c r="J70" s="90">
        <f>IF(OR(G70="",H70="",G$68="",H$68=""),"",SQRT((G70-G$68)^2+(H70-H$68)^2))</f>
        <v/>
      </c>
      <c r="K70" s="82" t="n"/>
    </row>
    <row r="71">
      <c r="A71" s="73" t="inlineStr">
        <is>
          <t>Vishay</t>
        </is>
      </c>
      <c r="B71" s="74" t="inlineStr">
        <is>
          <t>20 mm</t>
        </is>
      </c>
      <c r="C71" s="75" t="n">
        <v>1</v>
      </c>
      <c r="D71" s="76" t="n">
        <v>67.5</v>
      </c>
      <c r="E71" s="77" t="n"/>
      <c r="F71" s="77" t="n"/>
      <c r="G71" s="89" t="n"/>
      <c r="H71" s="89" t="n"/>
      <c r="I71" s="77" t="n"/>
      <c r="J71" s="90">
        <f>IF(OR(G71="",H71="",G$68="",H$68=""),"",SQRT((G71-G$68)^2+(H71-H$68)^2))</f>
        <v/>
      </c>
      <c r="K71" s="82" t="n"/>
    </row>
    <row r="72">
      <c r="A72" s="73" t="inlineStr">
        <is>
          <t>Vishay</t>
        </is>
      </c>
      <c r="B72" s="74" t="inlineStr">
        <is>
          <t>20 mm</t>
        </is>
      </c>
      <c r="C72" s="75" t="n">
        <v>1</v>
      </c>
      <c r="D72" s="76" t="n">
        <v>90</v>
      </c>
      <c r="E72" s="77" t="n"/>
      <c r="F72" s="77" t="n"/>
      <c r="G72" s="89" t="n"/>
      <c r="H72" s="89" t="n"/>
      <c r="I72" s="77" t="n"/>
      <c r="J72" s="90">
        <f>IF(OR(G72="",H72="",G$68="",H$68=""),"",SQRT((G72-G$68)^2+(H72-H$68)^2))</f>
        <v/>
      </c>
      <c r="K72" s="82" t="n"/>
    </row>
    <row r="73">
      <c r="A73" s="73" t="inlineStr">
        <is>
          <t>Everlight</t>
        </is>
      </c>
      <c r="B73" s="74" t="inlineStr">
        <is>
          <t>20 mm</t>
        </is>
      </c>
      <c r="C73" s="75" t="n">
        <v>1</v>
      </c>
      <c r="D73" s="76" t="n">
        <v>0</v>
      </c>
      <c r="E73" s="77" t="n"/>
      <c r="F73" s="77" t="n"/>
      <c r="G73" s="89" t="n"/>
      <c r="H73" s="89" t="n"/>
      <c r="I73" s="77" t="n"/>
      <c r="J73" s="90">
        <f>IF(OR(G73="",H73="",G$73="",H$73=""),"",SQRT((G73-G$73)^2+(H73-H$73)^2))</f>
        <v/>
      </c>
      <c r="K73" s="82" t="n"/>
    </row>
    <row r="74">
      <c r="A74" s="73" t="inlineStr">
        <is>
          <t>Everlight</t>
        </is>
      </c>
      <c r="B74" s="74" t="inlineStr">
        <is>
          <t>20 mm</t>
        </is>
      </c>
      <c r="C74" s="75" t="n">
        <v>1</v>
      </c>
      <c r="D74" s="76" t="n">
        <v>22.5</v>
      </c>
      <c r="E74" s="77" t="n"/>
      <c r="F74" s="77" t="n"/>
      <c r="G74" s="89" t="n"/>
      <c r="H74" s="89" t="n"/>
      <c r="I74" s="77" t="n"/>
      <c r="J74" s="90">
        <f>IF(OR(G74="",H74="",G$73="",H$73=""),"",SQRT((G74-G$73)^2+(H74-H$73)^2))</f>
        <v/>
      </c>
      <c r="K74" s="82" t="n"/>
    </row>
    <row r="75">
      <c r="A75" s="73" t="inlineStr">
        <is>
          <t>Everlight</t>
        </is>
      </c>
      <c r="B75" s="74" t="inlineStr">
        <is>
          <t>20 mm</t>
        </is>
      </c>
      <c r="C75" s="75" t="n">
        <v>1</v>
      </c>
      <c r="D75" s="76" t="n">
        <v>45</v>
      </c>
      <c r="E75" s="77" t="n"/>
      <c r="F75" s="77" t="n"/>
      <c r="G75" s="89" t="n"/>
      <c r="H75" s="89" t="n"/>
      <c r="I75" s="77" t="n"/>
      <c r="J75" s="90">
        <f>IF(OR(G75="",H75="",G$73="",H$73=""),"",SQRT((G75-G$73)^2+(H75-H$73)^2))</f>
        <v/>
      </c>
      <c r="K75" s="82" t="n"/>
    </row>
    <row r="76">
      <c r="A76" s="73" t="inlineStr">
        <is>
          <t>Everlight</t>
        </is>
      </c>
      <c r="B76" s="74" t="inlineStr">
        <is>
          <t>20 mm</t>
        </is>
      </c>
      <c r="C76" s="75" t="n">
        <v>1</v>
      </c>
      <c r="D76" s="76" t="n">
        <v>67.5</v>
      </c>
      <c r="E76" s="77" t="n"/>
      <c r="F76" s="77" t="n"/>
      <c r="G76" s="89" t="n"/>
      <c r="H76" s="89" t="n"/>
      <c r="I76" s="77" t="n"/>
      <c r="J76" s="90">
        <f>IF(OR(G76="",H76="",G$73="",H$73=""),"",SQRT((G76-G$73)^2+(H76-H$73)^2))</f>
        <v/>
      </c>
      <c r="K76" s="82" t="n"/>
    </row>
    <row r="77">
      <c r="A77" s="73" t="inlineStr">
        <is>
          <t>Everlight</t>
        </is>
      </c>
      <c r="B77" s="74" t="inlineStr">
        <is>
          <t>20 mm</t>
        </is>
      </c>
      <c r="C77" s="75" t="n">
        <v>1</v>
      </c>
      <c r="D77" s="76" t="n">
        <v>90</v>
      </c>
      <c r="E77" s="77" t="n"/>
      <c r="F77" s="77" t="n"/>
      <c r="G77" s="89" t="n"/>
      <c r="H77" s="89" t="n"/>
      <c r="I77" s="77" t="n"/>
      <c r="J77" s="90">
        <f>IF(OR(G77="",H77="",G$73="",H$73=""),"",SQRT((G77-G$73)^2+(H77-H$73)^2))</f>
        <v/>
      </c>
      <c r="K77" s="82" t="n"/>
    </row>
    <row r="78">
      <c r="A78" s="73" t="inlineStr">
        <is>
          <t>XL</t>
        </is>
      </c>
      <c r="B78" s="74" t="inlineStr">
        <is>
          <t>20 mm</t>
        </is>
      </c>
      <c r="C78" s="75" t="n">
        <v>1</v>
      </c>
      <c r="D78" s="76" t="n">
        <v>0</v>
      </c>
      <c r="E78" s="77" t="n"/>
      <c r="F78" s="77" t="n"/>
      <c r="G78" s="89" t="n"/>
      <c r="H78" s="89" t="n"/>
      <c r="I78" s="77" t="n"/>
      <c r="J78" s="90">
        <f>IF(OR(G78="",H78="",G$78="",H$78=""),"",SQRT((G78-G$78)^2+(H78-H$78)^2))</f>
        <v/>
      </c>
      <c r="K78" s="82" t="n"/>
    </row>
    <row r="79">
      <c r="A79" s="73" t="inlineStr">
        <is>
          <t>XL</t>
        </is>
      </c>
      <c r="B79" s="74" t="inlineStr">
        <is>
          <t>20 mm</t>
        </is>
      </c>
      <c r="C79" s="75" t="n">
        <v>1</v>
      </c>
      <c r="D79" s="76" t="n">
        <v>22.5</v>
      </c>
      <c r="E79" s="77" t="n"/>
      <c r="F79" s="77" t="n"/>
      <c r="G79" s="89" t="n"/>
      <c r="H79" s="89" t="n"/>
      <c r="I79" s="77" t="n"/>
      <c r="J79" s="90">
        <f>IF(OR(G79="",H79="",G$78="",H$78=""),"",SQRT((G79-G$78)^2+(H79-H$78)^2))</f>
        <v/>
      </c>
      <c r="K79" s="82" t="n"/>
    </row>
    <row r="80">
      <c r="A80" s="73" t="inlineStr">
        <is>
          <t>XL</t>
        </is>
      </c>
      <c r="B80" s="74" t="inlineStr">
        <is>
          <t>20 mm</t>
        </is>
      </c>
      <c r="C80" s="75" t="n">
        <v>1</v>
      </c>
      <c r="D80" s="76" t="n">
        <v>45</v>
      </c>
      <c r="E80" s="77" t="n"/>
      <c r="F80" s="77" t="n"/>
      <c r="G80" s="89" t="n"/>
      <c r="H80" s="89" t="n"/>
      <c r="I80" s="77" t="n"/>
      <c r="J80" s="90">
        <f>IF(OR(G80="",H80="",G$78="",H$78=""),"",SQRT((G80-G$78)^2+(H80-H$78)^2))</f>
        <v/>
      </c>
      <c r="K80" s="82" t="n"/>
    </row>
    <row r="81">
      <c r="A81" s="73" t="inlineStr">
        <is>
          <t>XL</t>
        </is>
      </c>
      <c r="B81" s="74" t="inlineStr">
        <is>
          <t>20 mm</t>
        </is>
      </c>
      <c r="C81" s="75" t="n">
        <v>1</v>
      </c>
      <c r="D81" s="76" t="n">
        <v>67.5</v>
      </c>
      <c r="E81" s="77" t="n"/>
      <c r="F81" s="77" t="n"/>
      <c r="G81" s="89" t="n"/>
      <c r="H81" s="89" t="n"/>
      <c r="I81" s="77" t="n"/>
      <c r="J81" s="90">
        <f>IF(OR(G81="",H81="",G$78="",H$78=""),"",SQRT((G81-G$78)^2+(H81-H$78)^2))</f>
        <v/>
      </c>
      <c r="K81" s="82" t="n"/>
    </row>
    <row r="82">
      <c r="A82" s="73" t="inlineStr">
        <is>
          <t>XL</t>
        </is>
      </c>
      <c r="B82" s="74" t="inlineStr">
        <is>
          <t>20 mm</t>
        </is>
      </c>
      <c r="C82" s="75" t="n">
        <v>1</v>
      </c>
      <c r="D82" s="76" t="n">
        <v>90</v>
      </c>
      <c r="E82" s="77" t="n"/>
      <c r="F82" s="77" t="n"/>
      <c r="G82" s="89" t="n"/>
      <c r="H82" s="89" t="n"/>
      <c r="I82" s="77" t="n"/>
      <c r="J82" s="90">
        <f>IF(OR(G82="",H82="",G$78="",H$78=""),"",SQRT((G82-G$78)^2+(H82-H$78)^2))</f>
        <v/>
      </c>
      <c r="K82" s="82" t="n"/>
    </row>
    <row r="83">
      <c r="A83" s="73" t="inlineStr">
        <is>
          <t>Kingbright</t>
        </is>
      </c>
      <c r="B83" s="74" t="inlineStr">
        <is>
          <t>20 mm</t>
        </is>
      </c>
      <c r="C83" s="75" t="n">
        <v>1</v>
      </c>
      <c r="D83" s="76" t="n">
        <v>0</v>
      </c>
      <c r="E83" s="77" t="n"/>
      <c r="F83" s="77" t="n"/>
      <c r="G83" s="89" t="n"/>
      <c r="H83" s="89" t="n"/>
      <c r="I83" s="77" t="n"/>
      <c r="J83" s="90">
        <f>IF(OR(G83="",H83="",G$83="",H$83=""),"",SQRT((G83-G$83)^2+(H83-H$83)^2))</f>
        <v/>
      </c>
      <c r="K83" s="82" t="n"/>
    </row>
    <row r="84">
      <c r="A84" s="73" t="inlineStr">
        <is>
          <t>Kingbright</t>
        </is>
      </c>
      <c r="B84" s="74" t="inlineStr">
        <is>
          <t>20 mm</t>
        </is>
      </c>
      <c r="C84" s="75" t="n">
        <v>1</v>
      </c>
      <c r="D84" s="76" t="n">
        <v>22.5</v>
      </c>
      <c r="E84" s="77" t="n"/>
      <c r="F84" s="77" t="n"/>
      <c r="G84" s="89" t="n"/>
      <c r="H84" s="89" t="n"/>
      <c r="I84" s="77" t="n"/>
      <c r="J84" s="90">
        <f>IF(OR(G84="",H84="",G$83="",H$83=""),"",SQRT((G84-G$83)^2+(H84-H$83)^2))</f>
        <v/>
      </c>
      <c r="K84" s="82" t="n"/>
    </row>
    <row r="85">
      <c r="A85" s="73" t="inlineStr">
        <is>
          <t>Kingbright</t>
        </is>
      </c>
      <c r="B85" s="74" t="inlineStr">
        <is>
          <t>20 mm</t>
        </is>
      </c>
      <c r="C85" s="75" t="n">
        <v>1</v>
      </c>
      <c r="D85" s="76" t="n">
        <v>45</v>
      </c>
      <c r="E85" s="77" t="n"/>
      <c r="F85" s="77" t="n"/>
      <c r="G85" s="89" t="n"/>
      <c r="H85" s="89" t="n"/>
      <c r="I85" s="77" t="n"/>
      <c r="J85" s="90">
        <f>IF(OR(G85="",H85="",G$83="",H$83=""),"",SQRT((G85-G$83)^2+(H85-H$83)^2))</f>
        <v/>
      </c>
      <c r="K85" s="82" t="n"/>
    </row>
    <row r="86">
      <c r="A86" s="73" t="inlineStr">
        <is>
          <t>Kingbright</t>
        </is>
      </c>
      <c r="B86" s="74" t="inlineStr">
        <is>
          <t>20 mm</t>
        </is>
      </c>
      <c r="C86" s="75" t="n">
        <v>1</v>
      </c>
      <c r="D86" s="76" t="n">
        <v>67.5</v>
      </c>
      <c r="E86" s="77" t="n"/>
      <c r="F86" s="77" t="n"/>
      <c r="G86" s="89" t="n"/>
      <c r="H86" s="89" t="n"/>
      <c r="I86" s="77" t="n"/>
      <c r="J86" s="90">
        <f>IF(OR(G86="",H86="",G$83="",H$83=""),"",SQRT((G86-G$83)^2+(H86-H$83)^2))</f>
        <v/>
      </c>
      <c r="K86" s="82" t="n"/>
    </row>
    <row r="87">
      <c r="A87" s="73" t="inlineStr">
        <is>
          <t>Kingbright</t>
        </is>
      </c>
      <c r="B87" s="74" t="inlineStr">
        <is>
          <t>20 mm</t>
        </is>
      </c>
      <c r="C87" s="75" t="n">
        <v>1</v>
      </c>
      <c r="D87" s="76" t="n">
        <v>90</v>
      </c>
      <c r="E87" s="77" t="n"/>
      <c r="F87" s="77" t="n"/>
      <c r="G87" s="89" t="n"/>
      <c r="H87" s="89" t="n"/>
      <c r="I87" s="77" t="n"/>
      <c r="J87" s="90">
        <f>IF(OR(G87="",H87="",G$83="",H$83=""),"",SQRT((G87-G$83)^2+(H87-H$83)^2))</f>
        <v/>
      </c>
      <c r="K87" s="82" t="n"/>
    </row>
    <row r="88">
      <c r="A88" s="63" t="inlineStr">
        <is>
          <t>Vishay</t>
        </is>
      </c>
      <c r="B88" s="64" t="inlineStr">
        <is>
          <t>25 mm</t>
        </is>
      </c>
      <c r="C88" s="65" t="n">
        <v>1</v>
      </c>
      <c r="D88" s="66" t="n">
        <v>0</v>
      </c>
      <c r="E88" s="67" t="n"/>
      <c r="F88" s="67" t="n"/>
      <c r="G88" s="87" t="n"/>
      <c r="H88" s="87" t="n"/>
      <c r="I88" s="67" t="n"/>
      <c r="J88" s="88">
        <f>IF(OR(G88="",H88="",G$88="",H$88=""),"",SQRT((G88-G$88)^2+(H88-H$88)^2))</f>
        <v/>
      </c>
      <c r="K88" s="72" t="n"/>
    </row>
    <row r="89">
      <c r="A89" s="73" t="inlineStr">
        <is>
          <t>Vishay</t>
        </is>
      </c>
      <c r="B89" s="74" t="inlineStr">
        <is>
          <t>25 mm</t>
        </is>
      </c>
      <c r="C89" s="75" t="n">
        <v>1</v>
      </c>
      <c r="D89" s="76" t="n">
        <v>22.5</v>
      </c>
      <c r="E89" s="77" t="n"/>
      <c r="F89" s="77" t="n"/>
      <c r="G89" s="89" t="n"/>
      <c r="H89" s="89" t="n"/>
      <c r="I89" s="77" t="n"/>
      <c r="J89" s="90">
        <f>IF(OR(G89="",H89="",G$88="",H$88=""),"",SQRT((G89-G$88)^2+(H89-H$88)^2))</f>
        <v/>
      </c>
      <c r="K89" s="82" t="n"/>
    </row>
    <row r="90">
      <c r="A90" s="73" t="inlineStr">
        <is>
          <t>Vishay</t>
        </is>
      </c>
      <c r="B90" s="74" t="inlineStr">
        <is>
          <t>25 mm</t>
        </is>
      </c>
      <c r="C90" s="75" t="n">
        <v>1</v>
      </c>
      <c r="D90" s="76" t="n">
        <v>45</v>
      </c>
      <c r="E90" s="77" t="n"/>
      <c r="F90" s="77" t="n"/>
      <c r="G90" s="89" t="n"/>
      <c r="H90" s="89" t="n"/>
      <c r="I90" s="77" t="n"/>
      <c r="J90" s="90">
        <f>IF(OR(G90="",H90="",G$88="",H$88=""),"",SQRT((G90-G$88)^2+(H90-H$88)^2))</f>
        <v/>
      </c>
      <c r="K90" s="82" t="n"/>
    </row>
    <row r="91">
      <c r="A91" s="73" t="inlineStr">
        <is>
          <t>Vishay</t>
        </is>
      </c>
      <c r="B91" s="74" t="inlineStr">
        <is>
          <t>25 mm</t>
        </is>
      </c>
      <c r="C91" s="75" t="n">
        <v>1</v>
      </c>
      <c r="D91" s="76" t="n">
        <v>67.5</v>
      </c>
      <c r="E91" s="77" t="n"/>
      <c r="F91" s="77" t="n"/>
      <c r="G91" s="89" t="n"/>
      <c r="H91" s="89" t="n"/>
      <c r="I91" s="77" t="n"/>
      <c r="J91" s="90">
        <f>IF(OR(G91="",H91="",G$88="",H$88=""),"",SQRT((G91-G$88)^2+(H91-H$88)^2))</f>
        <v/>
      </c>
      <c r="K91" s="82" t="n"/>
    </row>
    <row r="92">
      <c r="A92" s="73" t="inlineStr">
        <is>
          <t>Vishay</t>
        </is>
      </c>
      <c r="B92" s="74" t="inlineStr">
        <is>
          <t>25 mm</t>
        </is>
      </c>
      <c r="C92" s="75" t="n">
        <v>1</v>
      </c>
      <c r="D92" s="76" t="n">
        <v>90</v>
      </c>
      <c r="E92" s="77" t="n"/>
      <c r="F92" s="77" t="n"/>
      <c r="G92" s="89" t="n"/>
      <c r="H92" s="89" t="n"/>
      <c r="I92" s="77" t="n"/>
      <c r="J92" s="90">
        <f>IF(OR(G92="",H92="",G$88="",H$88=""),"",SQRT((G92-G$88)^2+(H92-H$88)^2))</f>
        <v/>
      </c>
      <c r="K92" s="82" t="n"/>
    </row>
    <row r="93">
      <c r="A93" s="73" t="inlineStr">
        <is>
          <t>Everlight</t>
        </is>
      </c>
      <c r="B93" s="74" t="inlineStr">
        <is>
          <t>25 mm</t>
        </is>
      </c>
      <c r="C93" s="75" t="n">
        <v>1</v>
      </c>
      <c r="D93" s="76" t="n">
        <v>0</v>
      </c>
      <c r="E93" s="77" t="n"/>
      <c r="F93" s="77" t="n"/>
      <c r="G93" s="89" t="n"/>
      <c r="H93" s="89" t="n"/>
      <c r="I93" s="77" t="n"/>
      <c r="J93" s="90">
        <f>IF(OR(G93="",H93="",G$93="",H$93=""),"",SQRT((G93-G$93)^2+(H93-H$93)^2))</f>
        <v/>
      </c>
      <c r="K93" s="82" t="n"/>
    </row>
    <row r="94">
      <c r="A94" s="73" t="inlineStr">
        <is>
          <t>Everlight</t>
        </is>
      </c>
      <c r="B94" s="74" t="inlineStr">
        <is>
          <t>25 mm</t>
        </is>
      </c>
      <c r="C94" s="75" t="n">
        <v>1</v>
      </c>
      <c r="D94" s="76" t="n">
        <v>22.5</v>
      </c>
      <c r="E94" s="77" t="n"/>
      <c r="F94" s="77" t="n"/>
      <c r="G94" s="89" t="n"/>
      <c r="H94" s="89" t="n"/>
      <c r="I94" s="77" t="n"/>
      <c r="J94" s="90">
        <f>IF(OR(G94="",H94="",G$93="",H$93=""),"",SQRT((G94-G$93)^2+(H94-H$93)^2))</f>
        <v/>
      </c>
      <c r="K94" s="82" t="n"/>
    </row>
    <row r="95">
      <c r="A95" s="73" t="inlineStr">
        <is>
          <t>Everlight</t>
        </is>
      </c>
      <c r="B95" s="74" t="inlineStr">
        <is>
          <t>25 mm</t>
        </is>
      </c>
      <c r="C95" s="75" t="n">
        <v>1</v>
      </c>
      <c r="D95" s="76" t="n">
        <v>45</v>
      </c>
      <c r="E95" s="77" t="n"/>
      <c r="F95" s="77" t="n"/>
      <c r="G95" s="89" t="n"/>
      <c r="H95" s="89" t="n"/>
      <c r="I95" s="77" t="n"/>
      <c r="J95" s="90">
        <f>IF(OR(G95="",H95="",G$93="",H$93=""),"",SQRT((G95-G$93)^2+(H95-H$93)^2))</f>
        <v/>
      </c>
      <c r="K95" s="82" t="n"/>
    </row>
    <row r="96">
      <c r="A96" s="73" t="inlineStr">
        <is>
          <t>Everlight</t>
        </is>
      </c>
      <c r="B96" s="74" t="inlineStr">
        <is>
          <t>25 mm</t>
        </is>
      </c>
      <c r="C96" s="75" t="n">
        <v>1</v>
      </c>
      <c r="D96" s="76" t="n">
        <v>67.5</v>
      </c>
      <c r="E96" s="77" t="n"/>
      <c r="F96" s="77" t="n"/>
      <c r="G96" s="89" t="n"/>
      <c r="H96" s="89" t="n"/>
      <c r="I96" s="77" t="n"/>
      <c r="J96" s="90">
        <f>IF(OR(G96="",H96="",G$93="",H$93=""),"",SQRT((G96-G$93)^2+(H96-H$93)^2))</f>
        <v/>
      </c>
      <c r="K96" s="82" t="n"/>
    </row>
    <row r="97">
      <c r="A97" s="73" t="inlineStr">
        <is>
          <t>Everlight</t>
        </is>
      </c>
      <c r="B97" s="74" t="inlineStr">
        <is>
          <t>25 mm</t>
        </is>
      </c>
      <c r="C97" s="75" t="n">
        <v>1</v>
      </c>
      <c r="D97" s="76" t="n">
        <v>90</v>
      </c>
      <c r="E97" s="77" t="n"/>
      <c r="F97" s="77" t="n"/>
      <c r="G97" s="89" t="n"/>
      <c r="H97" s="89" t="n"/>
      <c r="I97" s="77" t="n"/>
      <c r="J97" s="90">
        <f>IF(OR(G97="",H97="",G$93="",H$93=""),"",SQRT((G97-G$93)^2+(H97-H$93)^2))</f>
        <v/>
      </c>
      <c r="K97" s="82" t="n"/>
    </row>
    <row r="98">
      <c r="A98" s="73" t="inlineStr">
        <is>
          <t>XL</t>
        </is>
      </c>
      <c r="B98" s="74" t="inlineStr">
        <is>
          <t>25 mm</t>
        </is>
      </c>
      <c r="C98" s="75" t="n">
        <v>1</v>
      </c>
      <c r="D98" s="76" t="n">
        <v>0</v>
      </c>
      <c r="E98" s="77" t="n"/>
      <c r="F98" s="77" t="n"/>
      <c r="G98" s="89" t="n"/>
      <c r="H98" s="89" t="n"/>
      <c r="I98" s="77" t="n"/>
      <c r="J98" s="90">
        <f>IF(OR(G98="",H98="",G$98="",H$98=""),"",SQRT((G98-G$98)^2+(H98-H$98)^2))</f>
        <v/>
      </c>
      <c r="K98" s="82" t="n"/>
    </row>
    <row r="99">
      <c r="A99" s="73" t="inlineStr">
        <is>
          <t>XL</t>
        </is>
      </c>
      <c r="B99" s="74" t="inlineStr">
        <is>
          <t>25 mm</t>
        </is>
      </c>
      <c r="C99" s="75" t="n">
        <v>1</v>
      </c>
      <c r="D99" s="76" t="n">
        <v>22.5</v>
      </c>
      <c r="E99" s="77" t="n"/>
      <c r="F99" s="77" t="n"/>
      <c r="G99" s="89" t="n"/>
      <c r="H99" s="89" t="n"/>
      <c r="I99" s="77" t="n"/>
      <c r="J99" s="90">
        <f>IF(OR(G99="",H99="",G$98="",H$98=""),"",SQRT((G99-G$98)^2+(H99-H$98)^2))</f>
        <v/>
      </c>
      <c r="K99" s="82" t="n"/>
    </row>
    <row r="100">
      <c r="A100" s="73" t="inlineStr">
        <is>
          <t>XL</t>
        </is>
      </c>
      <c r="B100" s="74" t="inlineStr">
        <is>
          <t>25 mm</t>
        </is>
      </c>
      <c r="C100" s="75" t="n">
        <v>1</v>
      </c>
      <c r="D100" s="76" t="n">
        <v>45</v>
      </c>
      <c r="E100" s="77" t="n"/>
      <c r="F100" s="77" t="n"/>
      <c r="G100" s="89" t="n"/>
      <c r="H100" s="89" t="n"/>
      <c r="I100" s="77" t="n"/>
      <c r="J100" s="90">
        <f>IF(OR(G100="",H100="",G$98="",H$98=""),"",SQRT((G100-G$98)^2+(H100-H$98)^2))</f>
        <v/>
      </c>
      <c r="K100" s="82" t="n"/>
    </row>
    <row r="101">
      <c r="A101" s="73" t="inlineStr">
        <is>
          <t>XL</t>
        </is>
      </c>
      <c r="B101" s="74" t="inlineStr">
        <is>
          <t>25 mm</t>
        </is>
      </c>
      <c r="C101" s="75" t="n">
        <v>1</v>
      </c>
      <c r="D101" s="76" t="n">
        <v>67.5</v>
      </c>
      <c r="E101" s="77" t="n"/>
      <c r="F101" s="77" t="n"/>
      <c r="G101" s="89" t="n"/>
      <c r="H101" s="89" t="n"/>
      <c r="I101" s="77" t="n"/>
      <c r="J101" s="90">
        <f>IF(OR(G101="",H101="",G$98="",H$98=""),"",SQRT((G101-G$98)^2+(H101-H$98)^2))</f>
        <v/>
      </c>
      <c r="K101" s="82" t="n"/>
    </row>
    <row r="102">
      <c r="A102" s="73" t="inlineStr">
        <is>
          <t>XL</t>
        </is>
      </c>
      <c r="B102" s="74" t="inlineStr">
        <is>
          <t>25 mm</t>
        </is>
      </c>
      <c r="C102" s="75" t="n">
        <v>1</v>
      </c>
      <c r="D102" s="76" t="n">
        <v>90</v>
      </c>
      <c r="E102" s="77" t="n"/>
      <c r="F102" s="77" t="n"/>
      <c r="G102" s="89" t="n"/>
      <c r="H102" s="89" t="n"/>
      <c r="I102" s="77" t="n"/>
      <c r="J102" s="90">
        <f>IF(OR(G102="",H102="",G$98="",H$98=""),"",SQRT((G102-G$98)^2+(H102-H$98)^2))</f>
        <v/>
      </c>
      <c r="K102" s="82" t="n"/>
    </row>
    <row r="103">
      <c r="A103" s="73" t="inlineStr">
        <is>
          <t>Kingbright</t>
        </is>
      </c>
      <c r="B103" s="74" t="inlineStr">
        <is>
          <t>25 mm</t>
        </is>
      </c>
      <c r="C103" s="75" t="n">
        <v>1</v>
      </c>
      <c r="D103" s="76" t="n">
        <v>0</v>
      </c>
      <c r="E103" s="77" t="n"/>
      <c r="F103" s="77" t="n"/>
      <c r="G103" s="89" t="n"/>
      <c r="H103" s="89" t="n"/>
      <c r="I103" s="77" t="n"/>
      <c r="J103" s="90">
        <f>IF(OR(G103="",H103="",G$103="",H$103=""),"",SQRT((G103-G$103)^2+(H103-H$103)^2))</f>
        <v/>
      </c>
      <c r="K103" s="82" t="n"/>
    </row>
    <row r="104">
      <c r="A104" s="73" t="inlineStr">
        <is>
          <t>Kingbright</t>
        </is>
      </c>
      <c r="B104" s="74" t="inlineStr">
        <is>
          <t>25 mm</t>
        </is>
      </c>
      <c r="C104" s="75" t="n">
        <v>1</v>
      </c>
      <c r="D104" s="76" t="n">
        <v>22.5</v>
      </c>
      <c r="E104" s="77" t="n"/>
      <c r="F104" s="77" t="n"/>
      <c r="G104" s="89" t="n"/>
      <c r="H104" s="89" t="n"/>
      <c r="I104" s="77" t="n"/>
      <c r="J104" s="90">
        <f>IF(OR(G104="",H104="",G$103="",H$103=""),"",SQRT((G104-G$103)^2+(H104-H$103)^2))</f>
        <v/>
      </c>
      <c r="K104" s="82" t="n"/>
    </row>
    <row r="105">
      <c r="A105" s="73" t="inlineStr">
        <is>
          <t>Kingbright</t>
        </is>
      </c>
      <c r="B105" s="74" t="inlineStr">
        <is>
          <t>25 mm</t>
        </is>
      </c>
      <c r="C105" s="75" t="n">
        <v>1</v>
      </c>
      <c r="D105" s="76" t="n">
        <v>45</v>
      </c>
      <c r="E105" s="77" t="n"/>
      <c r="F105" s="77" t="n"/>
      <c r="G105" s="89" t="n"/>
      <c r="H105" s="89" t="n"/>
      <c r="I105" s="77" t="n"/>
      <c r="J105" s="90">
        <f>IF(OR(G105="",H105="",G$103="",H$103=""),"",SQRT((G105-G$103)^2+(H105-H$103)^2))</f>
        <v/>
      </c>
      <c r="K105" s="82" t="n"/>
    </row>
    <row r="106">
      <c r="A106" s="73" t="inlineStr">
        <is>
          <t>Kingbright</t>
        </is>
      </c>
      <c r="B106" s="74" t="inlineStr">
        <is>
          <t>25 mm</t>
        </is>
      </c>
      <c r="C106" s="75" t="n">
        <v>1</v>
      </c>
      <c r="D106" s="76" t="n">
        <v>67.5</v>
      </c>
      <c r="E106" s="77" t="n"/>
      <c r="F106" s="77" t="n"/>
      <c r="G106" s="89" t="n"/>
      <c r="H106" s="89" t="n"/>
      <c r="I106" s="77" t="n"/>
      <c r="J106" s="90">
        <f>IF(OR(G106="",H106="",G$103="",H$103=""),"",SQRT((G106-G$103)^2+(H106-H$103)^2))</f>
        <v/>
      </c>
      <c r="K106" s="82" t="n"/>
    </row>
    <row r="107">
      <c r="A107" s="73" t="inlineStr">
        <is>
          <t>Kingbright</t>
        </is>
      </c>
      <c r="B107" s="74" t="inlineStr">
        <is>
          <t>25 mm</t>
        </is>
      </c>
      <c r="C107" s="75" t="n">
        <v>1</v>
      </c>
      <c r="D107" s="76" t="n">
        <v>90</v>
      </c>
      <c r="E107" s="77" t="n"/>
      <c r="F107" s="77" t="n"/>
      <c r="G107" s="89" t="n"/>
      <c r="H107" s="89" t="n"/>
      <c r="I107" s="77" t="n"/>
      <c r="J107" s="90">
        <f>IF(OR(G107="",H107="",G$103="",H$103=""),"",SQRT((G107-G$103)^2+(H107-H$103)^2))</f>
        <v/>
      </c>
      <c r="K107" s="8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3864"/>
    <outlinePr summaryBelow="1" summaryRight="1"/>
    <pageSetUpPr/>
  </sheetPr>
  <dimension ref="A1:M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10" customWidth="1" min="4" max="4"/>
    <col width="10" customWidth="1" min="5" max="5"/>
    <col width="10" customWidth="1" min="6" max="6"/>
    <col width="9" customWidth="1" min="7" max="7"/>
    <col width="12" customWidth="1" min="8" max="8"/>
    <col width="9" customWidth="1" min="9" max="9"/>
    <col width="12" customWidth="1" min="10" max="10"/>
    <col width="11" customWidth="1" min="11" max="11"/>
    <col width="12" customWidth="1" min="12" max="12"/>
    <col width="34" customWidth="1" min="13" max="13"/>
  </cols>
  <sheetData>
    <row r="1" ht="18" customHeight="1">
      <c r="A1" s="54" t="inlineStr">
        <is>
          <t>TEST C - Range (sample 1 of each type / build)</t>
        </is>
      </c>
    </row>
    <row r="2">
      <c r="A2" s="55" t="inlineStr">
        <is>
          <t>Blue on yellow = fill in.  Black = calculated.  Each diffused marker holds FOUR LEDs in series off 9 V; 'bare (ref)' is a single LED, kept as a reference and never ranked.</t>
        </is>
      </c>
    </row>
    <row r="3" ht="30" customHeight="1">
      <c r="A3" s="56" t="inlineStr">
        <is>
          <t>LED Type</t>
        </is>
      </c>
      <c r="B3" s="56" t="inlineStr">
        <is>
          <t>Build</t>
        </is>
      </c>
      <c r="C3" s="56" t="inlineStr">
        <is>
          <t>Sample</t>
        </is>
      </c>
      <c r="D3" s="56" t="inlineStr">
        <is>
          <t>Distance
(m)</t>
        </is>
      </c>
      <c r="E3" s="56" t="inlineStr">
        <is>
          <t>Exposure
(us)</t>
        </is>
      </c>
      <c r="F3" s="56" t="inlineStr">
        <is>
          <t>Peak
(0-255)</t>
        </is>
      </c>
      <c r="G3" s="56" t="inlineStr">
        <is>
          <t>Sat px</t>
        </is>
      </c>
      <c r="H3" s="56" t="inlineStr">
        <is>
          <t>Sensor area
(px)</t>
        </is>
      </c>
      <c r="I3" s="56" t="inlineStr">
        <is>
          <t>blobs</t>
        </is>
      </c>
      <c r="J3" s="56" t="inlineStr">
        <is>
          <t>sigma_RMS
(px)</t>
        </is>
      </c>
      <c r="K3" s="56" t="inlineStr">
        <is>
          <t>Detected?
(Y/N)</t>
        </is>
      </c>
      <c r="L3" s="56" t="inlineStr">
        <is>
          <t>Valid range
(calc)</t>
        </is>
      </c>
      <c r="M3" s="56" t="inlineStr">
        <is>
          <t>Notes</t>
        </is>
      </c>
    </row>
    <row r="4">
      <c r="A4" s="63" t="inlineStr">
        <is>
          <t>Vishay</t>
        </is>
      </c>
      <c r="B4" s="64" t="inlineStr">
        <is>
          <t>bare (ref)</t>
        </is>
      </c>
      <c r="C4" s="65" t="n">
        <v>1</v>
      </c>
      <c r="D4" s="66" t="n">
        <v>1</v>
      </c>
      <c r="E4" s="67" t="n"/>
      <c r="F4" s="67" t="n"/>
      <c r="G4" s="68" t="n"/>
      <c r="H4" s="67" t="n"/>
      <c r="I4" s="67" t="n"/>
      <c r="J4" s="70" t="n"/>
      <c r="K4" s="91" t="n"/>
      <c r="L4" s="66">
        <f>IF(UPPER(K4)="Y",D4,0)</f>
        <v/>
      </c>
      <c r="M4" s="72" t="n"/>
    </row>
    <row r="5">
      <c r="A5" s="73" t="inlineStr">
        <is>
          <t>Vishay</t>
        </is>
      </c>
      <c r="B5" s="74" t="inlineStr">
        <is>
          <t>bare (ref)</t>
        </is>
      </c>
      <c r="C5" s="75" t="n">
        <v>1</v>
      </c>
      <c r="D5" s="76" t="n">
        <v>2</v>
      </c>
      <c r="E5" s="77" t="n"/>
      <c r="F5" s="77" t="n"/>
      <c r="G5" s="78" t="n"/>
      <c r="H5" s="77" t="n"/>
      <c r="I5" s="77" t="n"/>
      <c r="J5" s="80" t="n"/>
      <c r="K5" s="92" t="n"/>
      <c r="L5" s="76">
        <f>IF(UPPER(K5)="Y",D5,0)</f>
        <v/>
      </c>
      <c r="M5" s="82" t="n"/>
    </row>
    <row r="6">
      <c r="A6" s="73" t="inlineStr">
        <is>
          <t>Vishay</t>
        </is>
      </c>
      <c r="B6" s="74" t="inlineStr">
        <is>
          <t>bare (ref)</t>
        </is>
      </c>
      <c r="C6" s="75" t="n">
        <v>1</v>
      </c>
      <c r="D6" s="76" t="n">
        <v>3</v>
      </c>
      <c r="E6" s="77" t="n"/>
      <c r="F6" s="77" t="n"/>
      <c r="G6" s="78" t="n"/>
      <c r="H6" s="77" t="n"/>
      <c r="I6" s="77" t="n"/>
      <c r="J6" s="80" t="n"/>
      <c r="K6" s="92" t="n"/>
      <c r="L6" s="76">
        <f>IF(UPPER(K6)="Y",D6,0)</f>
        <v/>
      </c>
      <c r="M6" s="82" t="n"/>
    </row>
    <row r="7">
      <c r="A7" s="73" t="inlineStr">
        <is>
          <t>Vishay</t>
        </is>
      </c>
      <c r="B7" s="74" t="inlineStr">
        <is>
          <t>bare (ref)</t>
        </is>
      </c>
      <c r="C7" s="75" t="n">
        <v>1</v>
      </c>
      <c r="D7" s="76" t="n">
        <v>4</v>
      </c>
      <c r="E7" s="77" t="n"/>
      <c r="F7" s="77" t="n"/>
      <c r="G7" s="78" t="n"/>
      <c r="H7" s="77" t="n"/>
      <c r="I7" s="77" t="n"/>
      <c r="J7" s="80" t="n"/>
      <c r="K7" s="92" t="n"/>
      <c r="L7" s="76">
        <f>IF(UPPER(K7)="Y",D7,0)</f>
        <v/>
      </c>
      <c r="M7" s="82" t="n"/>
    </row>
    <row r="8">
      <c r="A8" s="73" t="inlineStr">
        <is>
          <t>Vishay</t>
        </is>
      </c>
      <c r="B8" s="74" t="inlineStr">
        <is>
          <t>bare (ref)</t>
        </is>
      </c>
      <c r="C8" s="75" t="n">
        <v>1</v>
      </c>
      <c r="D8" s="76" t="n">
        <v>5</v>
      </c>
      <c r="E8" s="77" t="n"/>
      <c r="F8" s="77" t="n"/>
      <c r="G8" s="78" t="n"/>
      <c r="H8" s="77" t="n"/>
      <c r="I8" s="77" t="n"/>
      <c r="J8" s="80" t="n"/>
      <c r="K8" s="92" t="n"/>
      <c r="L8" s="76">
        <f>IF(UPPER(K8)="Y",D8,0)</f>
        <v/>
      </c>
      <c r="M8" s="82" t="n"/>
    </row>
    <row r="9">
      <c r="A9" s="73" t="inlineStr">
        <is>
          <t>Everlight</t>
        </is>
      </c>
      <c r="B9" s="74" t="inlineStr">
        <is>
          <t>bare (ref)</t>
        </is>
      </c>
      <c r="C9" s="75" t="n">
        <v>1</v>
      </c>
      <c r="D9" s="76" t="n">
        <v>1</v>
      </c>
      <c r="E9" s="77" t="n"/>
      <c r="F9" s="77" t="n"/>
      <c r="G9" s="78" t="n"/>
      <c r="H9" s="77" t="n"/>
      <c r="I9" s="77" t="n"/>
      <c r="J9" s="80" t="n"/>
      <c r="K9" s="92" t="n"/>
      <c r="L9" s="76">
        <f>IF(UPPER(K9)="Y",D9,0)</f>
        <v/>
      </c>
      <c r="M9" s="82" t="n"/>
    </row>
    <row r="10">
      <c r="A10" s="73" t="inlineStr">
        <is>
          <t>Everlight</t>
        </is>
      </c>
      <c r="B10" s="74" t="inlineStr">
        <is>
          <t>bare (ref)</t>
        </is>
      </c>
      <c r="C10" s="75" t="n">
        <v>1</v>
      </c>
      <c r="D10" s="76" t="n">
        <v>2</v>
      </c>
      <c r="E10" s="77" t="n"/>
      <c r="F10" s="77" t="n"/>
      <c r="G10" s="78" t="n"/>
      <c r="H10" s="77" t="n"/>
      <c r="I10" s="77" t="n"/>
      <c r="J10" s="80" t="n"/>
      <c r="K10" s="92" t="n"/>
      <c r="L10" s="76">
        <f>IF(UPPER(K10)="Y",D10,0)</f>
        <v/>
      </c>
      <c r="M10" s="82" t="n"/>
    </row>
    <row r="11">
      <c r="A11" s="73" t="inlineStr">
        <is>
          <t>Everlight</t>
        </is>
      </c>
      <c r="B11" s="74" t="inlineStr">
        <is>
          <t>bare (ref)</t>
        </is>
      </c>
      <c r="C11" s="75" t="n">
        <v>1</v>
      </c>
      <c r="D11" s="76" t="n">
        <v>3</v>
      </c>
      <c r="E11" s="77" t="n"/>
      <c r="F11" s="77" t="n"/>
      <c r="G11" s="78" t="n"/>
      <c r="H11" s="77" t="n"/>
      <c r="I11" s="77" t="n"/>
      <c r="J11" s="80" t="n"/>
      <c r="K11" s="92" t="n"/>
      <c r="L11" s="76">
        <f>IF(UPPER(K11)="Y",D11,0)</f>
        <v/>
      </c>
      <c r="M11" s="82" t="n"/>
    </row>
    <row r="12">
      <c r="A12" s="73" t="inlineStr">
        <is>
          <t>Everlight</t>
        </is>
      </c>
      <c r="B12" s="74" t="inlineStr">
        <is>
          <t>bare (ref)</t>
        </is>
      </c>
      <c r="C12" s="75" t="n">
        <v>1</v>
      </c>
      <c r="D12" s="76" t="n">
        <v>4</v>
      </c>
      <c r="E12" s="77" t="n"/>
      <c r="F12" s="77" t="n"/>
      <c r="G12" s="78" t="n"/>
      <c r="H12" s="77" t="n"/>
      <c r="I12" s="77" t="n"/>
      <c r="J12" s="80" t="n"/>
      <c r="K12" s="92" t="n"/>
      <c r="L12" s="76">
        <f>IF(UPPER(K12)="Y",D12,0)</f>
        <v/>
      </c>
      <c r="M12" s="82" t="n"/>
    </row>
    <row r="13">
      <c r="A13" s="73" t="inlineStr">
        <is>
          <t>Everlight</t>
        </is>
      </c>
      <c r="B13" s="74" t="inlineStr">
        <is>
          <t>bare (ref)</t>
        </is>
      </c>
      <c r="C13" s="75" t="n">
        <v>1</v>
      </c>
      <c r="D13" s="76" t="n">
        <v>5</v>
      </c>
      <c r="E13" s="77" t="n"/>
      <c r="F13" s="77" t="n"/>
      <c r="G13" s="78" t="n"/>
      <c r="H13" s="77" t="n"/>
      <c r="I13" s="77" t="n"/>
      <c r="J13" s="80" t="n"/>
      <c r="K13" s="92" t="n"/>
      <c r="L13" s="76">
        <f>IF(UPPER(K13)="Y",D13,0)</f>
        <v/>
      </c>
      <c r="M13" s="82" t="n"/>
    </row>
    <row r="14">
      <c r="A14" s="73" t="inlineStr">
        <is>
          <t>XL</t>
        </is>
      </c>
      <c r="B14" s="74" t="inlineStr">
        <is>
          <t>bare (ref)</t>
        </is>
      </c>
      <c r="C14" s="75" t="n">
        <v>1</v>
      </c>
      <c r="D14" s="76" t="n">
        <v>1</v>
      </c>
      <c r="E14" s="77" t="n"/>
      <c r="F14" s="77" t="n"/>
      <c r="G14" s="78" t="n"/>
      <c r="H14" s="77" t="n"/>
      <c r="I14" s="77" t="n"/>
      <c r="J14" s="80" t="n"/>
      <c r="K14" s="92" t="n"/>
      <c r="L14" s="76">
        <f>IF(UPPER(K14)="Y",D14,0)</f>
        <v/>
      </c>
      <c r="M14" s="82" t="n"/>
    </row>
    <row r="15">
      <c r="A15" s="73" t="inlineStr">
        <is>
          <t>XL</t>
        </is>
      </c>
      <c r="B15" s="74" t="inlineStr">
        <is>
          <t>bare (ref)</t>
        </is>
      </c>
      <c r="C15" s="75" t="n">
        <v>1</v>
      </c>
      <c r="D15" s="76" t="n">
        <v>2</v>
      </c>
      <c r="E15" s="77" t="n"/>
      <c r="F15" s="77" t="n"/>
      <c r="G15" s="78" t="n"/>
      <c r="H15" s="77" t="n"/>
      <c r="I15" s="77" t="n"/>
      <c r="J15" s="80" t="n"/>
      <c r="K15" s="92" t="n"/>
      <c r="L15" s="76">
        <f>IF(UPPER(K15)="Y",D15,0)</f>
        <v/>
      </c>
      <c r="M15" s="82" t="n"/>
    </row>
    <row r="16">
      <c r="A16" s="73" t="inlineStr">
        <is>
          <t>XL</t>
        </is>
      </c>
      <c r="B16" s="74" t="inlineStr">
        <is>
          <t>bare (ref)</t>
        </is>
      </c>
      <c r="C16" s="75" t="n">
        <v>1</v>
      </c>
      <c r="D16" s="76" t="n">
        <v>3</v>
      </c>
      <c r="E16" s="77" t="n"/>
      <c r="F16" s="77" t="n"/>
      <c r="G16" s="78" t="n"/>
      <c r="H16" s="77" t="n"/>
      <c r="I16" s="77" t="n"/>
      <c r="J16" s="80" t="n"/>
      <c r="K16" s="92" t="n"/>
      <c r="L16" s="76">
        <f>IF(UPPER(K16)="Y",D16,0)</f>
        <v/>
      </c>
      <c r="M16" s="82" t="n"/>
    </row>
    <row r="17">
      <c r="A17" s="73" t="inlineStr">
        <is>
          <t>XL</t>
        </is>
      </c>
      <c r="B17" s="74" t="inlineStr">
        <is>
          <t>bare (ref)</t>
        </is>
      </c>
      <c r="C17" s="75" t="n">
        <v>1</v>
      </c>
      <c r="D17" s="76" t="n">
        <v>4</v>
      </c>
      <c r="E17" s="77" t="n"/>
      <c r="F17" s="77" t="n"/>
      <c r="G17" s="78" t="n"/>
      <c r="H17" s="77" t="n"/>
      <c r="I17" s="77" t="n"/>
      <c r="J17" s="80" t="n"/>
      <c r="K17" s="92" t="n"/>
      <c r="L17" s="76">
        <f>IF(UPPER(K17)="Y",D17,0)</f>
        <v/>
      </c>
      <c r="M17" s="82" t="n"/>
    </row>
    <row r="18">
      <c r="A18" s="73" t="inlineStr">
        <is>
          <t>XL</t>
        </is>
      </c>
      <c r="B18" s="74" t="inlineStr">
        <is>
          <t>bare (ref)</t>
        </is>
      </c>
      <c r="C18" s="75" t="n">
        <v>1</v>
      </c>
      <c r="D18" s="76" t="n">
        <v>5</v>
      </c>
      <c r="E18" s="77" t="n"/>
      <c r="F18" s="77" t="n"/>
      <c r="G18" s="78" t="n"/>
      <c r="H18" s="77" t="n"/>
      <c r="I18" s="77" t="n"/>
      <c r="J18" s="80" t="n"/>
      <c r="K18" s="92" t="n"/>
      <c r="L18" s="76">
        <f>IF(UPPER(K18)="Y",D18,0)</f>
        <v/>
      </c>
      <c r="M18" s="82" t="n"/>
    </row>
    <row r="19">
      <c r="A19" s="73" t="inlineStr">
        <is>
          <t>Kingbright</t>
        </is>
      </c>
      <c r="B19" s="74" t="inlineStr">
        <is>
          <t>bare (ref)</t>
        </is>
      </c>
      <c r="C19" s="75" t="n">
        <v>1</v>
      </c>
      <c r="D19" s="76" t="n">
        <v>1</v>
      </c>
      <c r="E19" s="77" t="n"/>
      <c r="F19" s="77" t="n"/>
      <c r="G19" s="78" t="n"/>
      <c r="H19" s="77" t="n"/>
      <c r="I19" s="77" t="n"/>
      <c r="J19" s="80" t="n"/>
      <c r="K19" s="92" t="n"/>
      <c r="L19" s="76">
        <f>IF(UPPER(K19)="Y",D19,0)</f>
        <v/>
      </c>
      <c r="M19" s="82" t="n"/>
    </row>
    <row r="20">
      <c r="A20" s="73" t="inlineStr">
        <is>
          <t>Kingbright</t>
        </is>
      </c>
      <c r="B20" s="74" t="inlineStr">
        <is>
          <t>bare (ref)</t>
        </is>
      </c>
      <c r="C20" s="75" t="n">
        <v>1</v>
      </c>
      <c r="D20" s="76" t="n">
        <v>2</v>
      </c>
      <c r="E20" s="77" t="n"/>
      <c r="F20" s="77" t="n"/>
      <c r="G20" s="78" t="n"/>
      <c r="H20" s="77" t="n"/>
      <c r="I20" s="77" t="n"/>
      <c r="J20" s="80" t="n"/>
      <c r="K20" s="92" t="n"/>
      <c r="L20" s="76">
        <f>IF(UPPER(K20)="Y",D20,0)</f>
        <v/>
      </c>
      <c r="M20" s="82" t="n"/>
    </row>
    <row r="21">
      <c r="A21" s="73" t="inlineStr">
        <is>
          <t>Kingbright</t>
        </is>
      </c>
      <c r="B21" s="74" t="inlineStr">
        <is>
          <t>bare (ref)</t>
        </is>
      </c>
      <c r="C21" s="75" t="n">
        <v>1</v>
      </c>
      <c r="D21" s="76" t="n">
        <v>3</v>
      </c>
      <c r="E21" s="77" t="n"/>
      <c r="F21" s="77" t="n"/>
      <c r="G21" s="78" t="n"/>
      <c r="H21" s="77" t="n"/>
      <c r="I21" s="77" t="n"/>
      <c r="J21" s="80" t="n"/>
      <c r="K21" s="92" t="n"/>
      <c r="L21" s="76">
        <f>IF(UPPER(K21)="Y",D21,0)</f>
        <v/>
      </c>
      <c r="M21" s="82" t="n"/>
    </row>
    <row r="22">
      <c r="A22" s="73" t="inlineStr">
        <is>
          <t>Kingbright</t>
        </is>
      </c>
      <c r="B22" s="74" t="inlineStr">
        <is>
          <t>bare (ref)</t>
        </is>
      </c>
      <c r="C22" s="75" t="n">
        <v>1</v>
      </c>
      <c r="D22" s="76" t="n">
        <v>4</v>
      </c>
      <c r="E22" s="77" t="n"/>
      <c r="F22" s="77" t="n"/>
      <c r="G22" s="78" t="n"/>
      <c r="H22" s="77" t="n"/>
      <c r="I22" s="77" t="n"/>
      <c r="J22" s="80" t="n"/>
      <c r="K22" s="92" t="n"/>
      <c r="L22" s="76">
        <f>IF(UPPER(K22)="Y",D22,0)</f>
        <v/>
      </c>
      <c r="M22" s="82" t="n"/>
    </row>
    <row r="23">
      <c r="A23" s="73" t="inlineStr">
        <is>
          <t>Kingbright</t>
        </is>
      </c>
      <c r="B23" s="74" t="inlineStr">
        <is>
          <t>bare (ref)</t>
        </is>
      </c>
      <c r="C23" s="75" t="n">
        <v>1</v>
      </c>
      <c r="D23" s="76" t="n">
        <v>5</v>
      </c>
      <c r="E23" s="77" t="n"/>
      <c r="F23" s="77" t="n"/>
      <c r="G23" s="78" t="n"/>
      <c r="H23" s="77" t="n"/>
      <c r="I23" s="77" t="n"/>
      <c r="J23" s="80" t="n"/>
      <c r="K23" s="92" t="n"/>
      <c r="L23" s="76">
        <f>IF(UPPER(K23)="Y",D23,0)</f>
        <v/>
      </c>
      <c r="M23" s="82" t="n"/>
    </row>
    <row r="24">
      <c r="A24" s="63" t="inlineStr">
        <is>
          <t>Vishay</t>
        </is>
      </c>
      <c r="B24" s="64" t="inlineStr">
        <is>
          <t>20 mm</t>
        </is>
      </c>
      <c r="C24" s="65" t="n">
        <v>1</v>
      </c>
      <c r="D24" s="66" t="n">
        <v>1</v>
      </c>
      <c r="E24" s="67" t="n"/>
      <c r="F24" s="67" t="n"/>
      <c r="G24" s="68" t="n"/>
      <c r="H24" s="67" t="n"/>
      <c r="I24" s="67" t="n"/>
      <c r="J24" s="70" t="n"/>
      <c r="K24" s="91" t="n"/>
      <c r="L24" s="66">
        <f>IF(UPPER(K24)="Y",D24,0)</f>
        <v/>
      </c>
      <c r="M24" s="72" t="n"/>
    </row>
    <row r="25">
      <c r="A25" s="73" t="inlineStr">
        <is>
          <t>Vishay</t>
        </is>
      </c>
      <c r="B25" s="74" t="inlineStr">
        <is>
          <t>20 mm</t>
        </is>
      </c>
      <c r="C25" s="75" t="n">
        <v>1</v>
      </c>
      <c r="D25" s="76" t="n">
        <v>2</v>
      </c>
      <c r="E25" s="77" t="n"/>
      <c r="F25" s="77" t="n"/>
      <c r="G25" s="78" t="n"/>
      <c r="H25" s="77" t="n"/>
      <c r="I25" s="77" t="n"/>
      <c r="J25" s="80" t="n"/>
      <c r="K25" s="92" t="n"/>
      <c r="L25" s="76">
        <f>IF(UPPER(K25)="Y",D25,0)</f>
        <v/>
      </c>
      <c r="M25" s="82" t="n"/>
    </row>
    <row r="26">
      <c r="A26" s="73" t="inlineStr">
        <is>
          <t>Vishay</t>
        </is>
      </c>
      <c r="B26" s="74" t="inlineStr">
        <is>
          <t>20 mm</t>
        </is>
      </c>
      <c r="C26" s="75" t="n">
        <v>1</v>
      </c>
      <c r="D26" s="76" t="n">
        <v>3</v>
      </c>
      <c r="E26" s="77" t="n"/>
      <c r="F26" s="77" t="n"/>
      <c r="G26" s="78" t="n"/>
      <c r="H26" s="77" t="n"/>
      <c r="I26" s="77" t="n"/>
      <c r="J26" s="80" t="n"/>
      <c r="K26" s="92" t="n"/>
      <c r="L26" s="76">
        <f>IF(UPPER(K26)="Y",D26,0)</f>
        <v/>
      </c>
      <c r="M26" s="82" t="n"/>
    </row>
    <row r="27">
      <c r="A27" s="73" t="inlineStr">
        <is>
          <t>Vishay</t>
        </is>
      </c>
      <c r="B27" s="74" t="inlineStr">
        <is>
          <t>20 mm</t>
        </is>
      </c>
      <c r="C27" s="75" t="n">
        <v>1</v>
      </c>
      <c r="D27" s="76" t="n">
        <v>4</v>
      </c>
      <c r="E27" s="77" t="n"/>
      <c r="F27" s="77" t="n"/>
      <c r="G27" s="78" t="n"/>
      <c r="H27" s="77" t="n"/>
      <c r="I27" s="77" t="n"/>
      <c r="J27" s="80" t="n"/>
      <c r="K27" s="92" t="n"/>
      <c r="L27" s="76">
        <f>IF(UPPER(K27)="Y",D27,0)</f>
        <v/>
      </c>
      <c r="M27" s="82" t="n"/>
    </row>
    <row r="28">
      <c r="A28" s="73" t="inlineStr">
        <is>
          <t>Vishay</t>
        </is>
      </c>
      <c r="B28" s="74" t="inlineStr">
        <is>
          <t>20 mm</t>
        </is>
      </c>
      <c r="C28" s="75" t="n">
        <v>1</v>
      </c>
      <c r="D28" s="76" t="n">
        <v>5</v>
      </c>
      <c r="E28" s="77" t="n"/>
      <c r="F28" s="77" t="n"/>
      <c r="G28" s="78" t="n"/>
      <c r="H28" s="77" t="n"/>
      <c r="I28" s="77" t="n"/>
      <c r="J28" s="80" t="n"/>
      <c r="K28" s="92" t="n"/>
      <c r="L28" s="76">
        <f>IF(UPPER(K28)="Y",D28,0)</f>
        <v/>
      </c>
      <c r="M28" s="82" t="n"/>
    </row>
    <row r="29">
      <c r="A29" s="73" t="inlineStr">
        <is>
          <t>Everlight</t>
        </is>
      </c>
      <c r="B29" s="74" t="inlineStr">
        <is>
          <t>20 mm</t>
        </is>
      </c>
      <c r="C29" s="75" t="n">
        <v>1</v>
      </c>
      <c r="D29" s="76" t="n">
        <v>1</v>
      </c>
      <c r="E29" s="77" t="n"/>
      <c r="F29" s="77" t="n"/>
      <c r="G29" s="78" t="n"/>
      <c r="H29" s="77" t="n"/>
      <c r="I29" s="77" t="n"/>
      <c r="J29" s="80" t="n"/>
      <c r="K29" s="92" t="n"/>
      <c r="L29" s="76">
        <f>IF(UPPER(K29)="Y",D29,0)</f>
        <v/>
      </c>
      <c r="M29" s="82" t="n"/>
    </row>
    <row r="30">
      <c r="A30" s="73" t="inlineStr">
        <is>
          <t>Everlight</t>
        </is>
      </c>
      <c r="B30" s="74" t="inlineStr">
        <is>
          <t>20 mm</t>
        </is>
      </c>
      <c r="C30" s="75" t="n">
        <v>1</v>
      </c>
      <c r="D30" s="76" t="n">
        <v>2</v>
      </c>
      <c r="E30" s="77" t="n"/>
      <c r="F30" s="77" t="n"/>
      <c r="G30" s="78" t="n"/>
      <c r="H30" s="77" t="n"/>
      <c r="I30" s="77" t="n"/>
      <c r="J30" s="80" t="n"/>
      <c r="K30" s="92" t="n"/>
      <c r="L30" s="76">
        <f>IF(UPPER(K30)="Y",D30,0)</f>
        <v/>
      </c>
      <c r="M30" s="82" t="n"/>
    </row>
    <row r="31">
      <c r="A31" s="73" t="inlineStr">
        <is>
          <t>Everlight</t>
        </is>
      </c>
      <c r="B31" s="74" t="inlineStr">
        <is>
          <t>20 mm</t>
        </is>
      </c>
      <c r="C31" s="75" t="n">
        <v>1</v>
      </c>
      <c r="D31" s="76" t="n">
        <v>3</v>
      </c>
      <c r="E31" s="77" t="n"/>
      <c r="F31" s="77" t="n"/>
      <c r="G31" s="78" t="n"/>
      <c r="H31" s="77" t="n"/>
      <c r="I31" s="77" t="n"/>
      <c r="J31" s="80" t="n"/>
      <c r="K31" s="92" t="n"/>
      <c r="L31" s="76">
        <f>IF(UPPER(K31)="Y",D31,0)</f>
        <v/>
      </c>
      <c r="M31" s="82" t="n"/>
    </row>
    <row r="32">
      <c r="A32" s="73" t="inlineStr">
        <is>
          <t>Everlight</t>
        </is>
      </c>
      <c r="B32" s="74" t="inlineStr">
        <is>
          <t>20 mm</t>
        </is>
      </c>
      <c r="C32" s="75" t="n">
        <v>1</v>
      </c>
      <c r="D32" s="76" t="n">
        <v>4</v>
      </c>
      <c r="E32" s="77" t="n"/>
      <c r="F32" s="77" t="n"/>
      <c r="G32" s="78" t="n"/>
      <c r="H32" s="77" t="n"/>
      <c r="I32" s="77" t="n"/>
      <c r="J32" s="80" t="n"/>
      <c r="K32" s="92" t="n"/>
      <c r="L32" s="76">
        <f>IF(UPPER(K32)="Y",D32,0)</f>
        <v/>
      </c>
      <c r="M32" s="82" t="n"/>
    </row>
    <row r="33">
      <c r="A33" s="73" t="inlineStr">
        <is>
          <t>Everlight</t>
        </is>
      </c>
      <c r="B33" s="74" t="inlineStr">
        <is>
          <t>20 mm</t>
        </is>
      </c>
      <c r="C33" s="75" t="n">
        <v>1</v>
      </c>
      <c r="D33" s="76" t="n">
        <v>5</v>
      </c>
      <c r="E33" s="77" t="n"/>
      <c r="F33" s="77" t="n"/>
      <c r="G33" s="78" t="n"/>
      <c r="H33" s="77" t="n"/>
      <c r="I33" s="77" t="n"/>
      <c r="J33" s="80" t="n"/>
      <c r="K33" s="92" t="n"/>
      <c r="L33" s="76">
        <f>IF(UPPER(K33)="Y",D33,0)</f>
        <v/>
      </c>
      <c r="M33" s="82" t="n"/>
    </row>
    <row r="34">
      <c r="A34" s="73" t="inlineStr">
        <is>
          <t>XL</t>
        </is>
      </c>
      <c r="B34" s="74" t="inlineStr">
        <is>
          <t>20 mm</t>
        </is>
      </c>
      <c r="C34" s="75" t="n">
        <v>1</v>
      </c>
      <c r="D34" s="76" t="n">
        <v>1</v>
      </c>
      <c r="E34" s="77" t="n"/>
      <c r="F34" s="77" t="n"/>
      <c r="G34" s="78" t="n"/>
      <c r="H34" s="77" t="n"/>
      <c r="I34" s="77" t="n"/>
      <c r="J34" s="80" t="n"/>
      <c r="K34" s="92" t="n"/>
      <c r="L34" s="76">
        <f>IF(UPPER(K34)="Y",D34,0)</f>
        <v/>
      </c>
      <c r="M34" s="82" t="n"/>
    </row>
    <row r="35">
      <c r="A35" s="73" t="inlineStr">
        <is>
          <t>XL</t>
        </is>
      </c>
      <c r="B35" s="74" t="inlineStr">
        <is>
          <t>20 mm</t>
        </is>
      </c>
      <c r="C35" s="75" t="n">
        <v>1</v>
      </c>
      <c r="D35" s="76" t="n">
        <v>2</v>
      </c>
      <c r="E35" s="77" t="n"/>
      <c r="F35" s="77" t="n"/>
      <c r="G35" s="78" t="n"/>
      <c r="H35" s="77" t="n"/>
      <c r="I35" s="77" t="n"/>
      <c r="J35" s="80" t="n"/>
      <c r="K35" s="92" t="n"/>
      <c r="L35" s="76">
        <f>IF(UPPER(K35)="Y",D35,0)</f>
        <v/>
      </c>
      <c r="M35" s="82" t="n"/>
    </row>
    <row r="36">
      <c r="A36" s="73" t="inlineStr">
        <is>
          <t>XL</t>
        </is>
      </c>
      <c r="B36" s="74" t="inlineStr">
        <is>
          <t>20 mm</t>
        </is>
      </c>
      <c r="C36" s="75" t="n">
        <v>1</v>
      </c>
      <c r="D36" s="76" t="n">
        <v>3</v>
      </c>
      <c r="E36" s="77" t="n"/>
      <c r="F36" s="77" t="n"/>
      <c r="G36" s="78" t="n"/>
      <c r="H36" s="77" t="n"/>
      <c r="I36" s="77" t="n"/>
      <c r="J36" s="80" t="n"/>
      <c r="K36" s="92" t="n"/>
      <c r="L36" s="76">
        <f>IF(UPPER(K36)="Y",D36,0)</f>
        <v/>
      </c>
      <c r="M36" s="82" t="n"/>
    </row>
    <row r="37">
      <c r="A37" s="73" t="inlineStr">
        <is>
          <t>XL</t>
        </is>
      </c>
      <c r="B37" s="74" t="inlineStr">
        <is>
          <t>20 mm</t>
        </is>
      </c>
      <c r="C37" s="75" t="n">
        <v>1</v>
      </c>
      <c r="D37" s="76" t="n">
        <v>4</v>
      </c>
      <c r="E37" s="77" t="n"/>
      <c r="F37" s="77" t="n"/>
      <c r="G37" s="78" t="n"/>
      <c r="H37" s="77" t="n"/>
      <c r="I37" s="77" t="n"/>
      <c r="J37" s="80" t="n"/>
      <c r="K37" s="92" t="n"/>
      <c r="L37" s="76">
        <f>IF(UPPER(K37)="Y",D37,0)</f>
        <v/>
      </c>
      <c r="M37" s="82" t="n"/>
    </row>
    <row r="38">
      <c r="A38" s="73" t="inlineStr">
        <is>
          <t>XL</t>
        </is>
      </c>
      <c r="B38" s="74" t="inlineStr">
        <is>
          <t>20 mm</t>
        </is>
      </c>
      <c r="C38" s="75" t="n">
        <v>1</v>
      </c>
      <c r="D38" s="76" t="n">
        <v>5</v>
      </c>
      <c r="E38" s="77" t="n"/>
      <c r="F38" s="77" t="n"/>
      <c r="G38" s="78" t="n"/>
      <c r="H38" s="77" t="n"/>
      <c r="I38" s="77" t="n"/>
      <c r="J38" s="80" t="n"/>
      <c r="K38" s="92" t="n"/>
      <c r="L38" s="76">
        <f>IF(UPPER(K38)="Y",D38,0)</f>
        <v/>
      </c>
      <c r="M38" s="82" t="n"/>
    </row>
    <row r="39">
      <c r="A39" s="73" t="inlineStr">
        <is>
          <t>Kingbright</t>
        </is>
      </c>
      <c r="B39" s="74" t="inlineStr">
        <is>
          <t>20 mm</t>
        </is>
      </c>
      <c r="C39" s="75" t="n">
        <v>1</v>
      </c>
      <c r="D39" s="76" t="n">
        <v>1</v>
      </c>
      <c r="E39" s="77" t="n"/>
      <c r="F39" s="77" t="n"/>
      <c r="G39" s="78" t="n"/>
      <c r="H39" s="77" t="n"/>
      <c r="I39" s="77" t="n"/>
      <c r="J39" s="80" t="n"/>
      <c r="K39" s="92" t="n"/>
      <c r="L39" s="76">
        <f>IF(UPPER(K39)="Y",D39,0)</f>
        <v/>
      </c>
      <c r="M39" s="82" t="n"/>
    </row>
    <row r="40">
      <c r="A40" s="73" t="inlineStr">
        <is>
          <t>Kingbright</t>
        </is>
      </c>
      <c r="B40" s="74" t="inlineStr">
        <is>
          <t>20 mm</t>
        </is>
      </c>
      <c r="C40" s="75" t="n">
        <v>1</v>
      </c>
      <c r="D40" s="76" t="n">
        <v>2</v>
      </c>
      <c r="E40" s="77" t="n"/>
      <c r="F40" s="77" t="n"/>
      <c r="G40" s="78" t="n"/>
      <c r="H40" s="77" t="n"/>
      <c r="I40" s="77" t="n"/>
      <c r="J40" s="80" t="n"/>
      <c r="K40" s="92" t="n"/>
      <c r="L40" s="76">
        <f>IF(UPPER(K40)="Y",D40,0)</f>
        <v/>
      </c>
      <c r="M40" s="82" t="n"/>
    </row>
    <row r="41">
      <c r="A41" s="73" t="inlineStr">
        <is>
          <t>Kingbright</t>
        </is>
      </c>
      <c r="B41" s="74" t="inlineStr">
        <is>
          <t>20 mm</t>
        </is>
      </c>
      <c r="C41" s="75" t="n">
        <v>1</v>
      </c>
      <c r="D41" s="76" t="n">
        <v>3</v>
      </c>
      <c r="E41" s="77" t="n"/>
      <c r="F41" s="77" t="n"/>
      <c r="G41" s="78" t="n"/>
      <c r="H41" s="77" t="n"/>
      <c r="I41" s="77" t="n"/>
      <c r="J41" s="80" t="n"/>
      <c r="K41" s="92" t="n"/>
      <c r="L41" s="76">
        <f>IF(UPPER(K41)="Y",D41,0)</f>
        <v/>
      </c>
      <c r="M41" s="82" t="n"/>
    </row>
    <row r="42">
      <c r="A42" s="73" t="inlineStr">
        <is>
          <t>Kingbright</t>
        </is>
      </c>
      <c r="B42" s="74" t="inlineStr">
        <is>
          <t>20 mm</t>
        </is>
      </c>
      <c r="C42" s="75" t="n">
        <v>1</v>
      </c>
      <c r="D42" s="76" t="n">
        <v>4</v>
      </c>
      <c r="E42" s="77" t="n"/>
      <c r="F42" s="77" t="n"/>
      <c r="G42" s="78" t="n"/>
      <c r="H42" s="77" t="n"/>
      <c r="I42" s="77" t="n"/>
      <c r="J42" s="80" t="n"/>
      <c r="K42" s="92" t="n"/>
      <c r="L42" s="76">
        <f>IF(UPPER(K42)="Y",D42,0)</f>
        <v/>
      </c>
      <c r="M42" s="82" t="n"/>
    </row>
    <row r="43">
      <c r="A43" s="73" t="inlineStr">
        <is>
          <t>Kingbright</t>
        </is>
      </c>
      <c r="B43" s="74" t="inlineStr">
        <is>
          <t>20 mm</t>
        </is>
      </c>
      <c r="C43" s="75" t="n">
        <v>1</v>
      </c>
      <c r="D43" s="76" t="n">
        <v>5</v>
      </c>
      <c r="E43" s="77" t="n"/>
      <c r="F43" s="77" t="n"/>
      <c r="G43" s="78" t="n"/>
      <c r="H43" s="77" t="n"/>
      <c r="I43" s="77" t="n"/>
      <c r="J43" s="80" t="n"/>
      <c r="K43" s="92" t="n"/>
      <c r="L43" s="76">
        <f>IF(UPPER(K43)="Y",D43,0)</f>
        <v/>
      </c>
      <c r="M43" s="82" t="n"/>
    </row>
    <row r="44">
      <c r="A44" s="63" t="inlineStr">
        <is>
          <t>Vishay</t>
        </is>
      </c>
      <c r="B44" s="64" t="inlineStr">
        <is>
          <t>25 mm</t>
        </is>
      </c>
      <c r="C44" s="65" t="n">
        <v>1</v>
      </c>
      <c r="D44" s="66" t="n">
        <v>1</v>
      </c>
      <c r="E44" s="67" t="n"/>
      <c r="F44" s="67" t="n"/>
      <c r="G44" s="68" t="n"/>
      <c r="H44" s="67" t="n"/>
      <c r="I44" s="67" t="n"/>
      <c r="J44" s="70" t="n"/>
      <c r="K44" s="91" t="n"/>
      <c r="L44" s="66">
        <f>IF(UPPER(K44)="Y",D44,0)</f>
        <v/>
      </c>
      <c r="M44" s="72" t="n"/>
    </row>
    <row r="45">
      <c r="A45" s="73" t="inlineStr">
        <is>
          <t>Vishay</t>
        </is>
      </c>
      <c r="B45" s="74" t="inlineStr">
        <is>
          <t>25 mm</t>
        </is>
      </c>
      <c r="C45" s="75" t="n">
        <v>1</v>
      </c>
      <c r="D45" s="76" t="n">
        <v>2</v>
      </c>
      <c r="E45" s="77" t="n"/>
      <c r="F45" s="77" t="n"/>
      <c r="G45" s="78" t="n"/>
      <c r="H45" s="77" t="n"/>
      <c r="I45" s="77" t="n"/>
      <c r="J45" s="80" t="n"/>
      <c r="K45" s="92" t="n"/>
      <c r="L45" s="76">
        <f>IF(UPPER(K45)="Y",D45,0)</f>
        <v/>
      </c>
      <c r="M45" s="82" t="n"/>
    </row>
    <row r="46">
      <c r="A46" s="73" t="inlineStr">
        <is>
          <t>Vishay</t>
        </is>
      </c>
      <c r="B46" s="74" t="inlineStr">
        <is>
          <t>25 mm</t>
        </is>
      </c>
      <c r="C46" s="75" t="n">
        <v>1</v>
      </c>
      <c r="D46" s="76" t="n">
        <v>3</v>
      </c>
      <c r="E46" s="77" t="n"/>
      <c r="F46" s="77" t="n"/>
      <c r="G46" s="78" t="n"/>
      <c r="H46" s="77" t="n"/>
      <c r="I46" s="77" t="n"/>
      <c r="J46" s="80" t="n"/>
      <c r="K46" s="92" t="n"/>
      <c r="L46" s="76">
        <f>IF(UPPER(K46)="Y",D46,0)</f>
        <v/>
      </c>
      <c r="M46" s="82" t="n"/>
    </row>
    <row r="47">
      <c r="A47" s="73" t="inlineStr">
        <is>
          <t>Vishay</t>
        </is>
      </c>
      <c r="B47" s="74" t="inlineStr">
        <is>
          <t>25 mm</t>
        </is>
      </c>
      <c r="C47" s="75" t="n">
        <v>1</v>
      </c>
      <c r="D47" s="76" t="n">
        <v>4</v>
      </c>
      <c r="E47" s="77" t="n"/>
      <c r="F47" s="77" t="n"/>
      <c r="G47" s="78" t="n"/>
      <c r="H47" s="77" t="n"/>
      <c r="I47" s="77" t="n"/>
      <c r="J47" s="80" t="n"/>
      <c r="K47" s="92" t="n"/>
      <c r="L47" s="76">
        <f>IF(UPPER(K47)="Y",D47,0)</f>
        <v/>
      </c>
      <c r="M47" s="82" t="n"/>
    </row>
    <row r="48">
      <c r="A48" s="73" t="inlineStr">
        <is>
          <t>Vishay</t>
        </is>
      </c>
      <c r="B48" s="74" t="inlineStr">
        <is>
          <t>25 mm</t>
        </is>
      </c>
      <c r="C48" s="75" t="n">
        <v>1</v>
      </c>
      <c r="D48" s="76" t="n">
        <v>5</v>
      </c>
      <c r="E48" s="77" t="n"/>
      <c r="F48" s="77" t="n"/>
      <c r="G48" s="78" t="n"/>
      <c r="H48" s="77" t="n"/>
      <c r="I48" s="77" t="n"/>
      <c r="J48" s="80" t="n"/>
      <c r="K48" s="92" t="n"/>
      <c r="L48" s="76">
        <f>IF(UPPER(K48)="Y",D48,0)</f>
        <v/>
      </c>
      <c r="M48" s="82" t="n"/>
    </row>
    <row r="49">
      <c r="A49" s="73" t="inlineStr">
        <is>
          <t>Everlight</t>
        </is>
      </c>
      <c r="B49" s="74" t="inlineStr">
        <is>
          <t>25 mm</t>
        </is>
      </c>
      <c r="C49" s="75" t="n">
        <v>1</v>
      </c>
      <c r="D49" s="76" t="n">
        <v>1</v>
      </c>
      <c r="E49" s="77" t="n"/>
      <c r="F49" s="77" t="n"/>
      <c r="G49" s="78" t="n"/>
      <c r="H49" s="77" t="n"/>
      <c r="I49" s="77" t="n"/>
      <c r="J49" s="80" t="n"/>
      <c r="K49" s="92" t="n"/>
      <c r="L49" s="76">
        <f>IF(UPPER(K49)="Y",D49,0)</f>
        <v/>
      </c>
      <c r="M49" s="82" t="n"/>
    </row>
    <row r="50">
      <c r="A50" s="73" t="inlineStr">
        <is>
          <t>Everlight</t>
        </is>
      </c>
      <c r="B50" s="74" t="inlineStr">
        <is>
          <t>25 mm</t>
        </is>
      </c>
      <c r="C50" s="75" t="n">
        <v>1</v>
      </c>
      <c r="D50" s="76" t="n">
        <v>2</v>
      </c>
      <c r="E50" s="77" t="n"/>
      <c r="F50" s="77" t="n"/>
      <c r="G50" s="78" t="n"/>
      <c r="H50" s="77" t="n"/>
      <c r="I50" s="77" t="n"/>
      <c r="J50" s="80" t="n"/>
      <c r="K50" s="92" t="n"/>
      <c r="L50" s="76">
        <f>IF(UPPER(K50)="Y",D50,0)</f>
        <v/>
      </c>
      <c r="M50" s="82" t="n"/>
    </row>
    <row r="51">
      <c r="A51" s="73" t="inlineStr">
        <is>
          <t>Everlight</t>
        </is>
      </c>
      <c r="B51" s="74" t="inlineStr">
        <is>
          <t>25 mm</t>
        </is>
      </c>
      <c r="C51" s="75" t="n">
        <v>1</v>
      </c>
      <c r="D51" s="76" t="n">
        <v>3</v>
      </c>
      <c r="E51" s="77" t="n"/>
      <c r="F51" s="77" t="n"/>
      <c r="G51" s="78" t="n"/>
      <c r="H51" s="77" t="n"/>
      <c r="I51" s="77" t="n"/>
      <c r="J51" s="80" t="n"/>
      <c r="K51" s="92" t="n"/>
      <c r="L51" s="76">
        <f>IF(UPPER(K51)="Y",D51,0)</f>
        <v/>
      </c>
      <c r="M51" s="82" t="n"/>
    </row>
    <row r="52">
      <c r="A52" s="73" t="inlineStr">
        <is>
          <t>Everlight</t>
        </is>
      </c>
      <c r="B52" s="74" t="inlineStr">
        <is>
          <t>25 mm</t>
        </is>
      </c>
      <c r="C52" s="75" t="n">
        <v>1</v>
      </c>
      <c r="D52" s="76" t="n">
        <v>4</v>
      </c>
      <c r="E52" s="77" t="n"/>
      <c r="F52" s="77" t="n"/>
      <c r="G52" s="78" t="n"/>
      <c r="H52" s="77" t="n"/>
      <c r="I52" s="77" t="n"/>
      <c r="J52" s="80" t="n"/>
      <c r="K52" s="92" t="n"/>
      <c r="L52" s="76">
        <f>IF(UPPER(K52)="Y",D52,0)</f>
        <v/>
      </c>
      <c r="M52" s="82" t="n"/>
    </row>
    <row r="53">
      <c r="A53" s="73" t="inlineStr">
        <is>
          <t>Everlight</t>
        </is>
      </c>
      <c r="B53" s="74" t="inlineStr">
        <is>
          <t>25 mm</t>
        </is>
      </c>
      <c r="C53" s="75" t="n">
        <v>1</v>
      </c>
      <c r="D53" s="76" t="n">
        <v>5</v>
      </c>
      <c r="E53" s="77" t="n"/>
      <c r="F53" s="77" t="n"/>
      <c r="G53" s="78" t="n"/>
      <c r="H53" s="77" t="n"/>
      <c r="I53" s="77" t="n"/>
      <c r="J53" s="80" t="n"/>
      <c r="K53" s="92" t="n"/>
      <c r="L53" s="76">
        <f>IF(UPPER(K53)="Y",D53,0)</f>
        <v/>
      </c>
      <c r="M53" s="82" t="n"/>
    </row>
    <row r="54">
      <c r="A54" s="73" t="inlineStr">
        <is>
          <t>XL</t>
        </is>
      </c>
      <c r="B54" s="74" t="inlineStr">
        <is>
          <t>25 mm</t>
        </is>
      </c>
      <c r="C54" s="75" t="n">
        <v>1</v>
      </c>
      <c r="D54" s="76" t="n">
        <v>1</v>
      </c>
      <c r="E54" s="77" t="n"/>
      <c r="F54" s="77" t="n"/>
      <c r="G54" s="78" t="n"/>
      <c r="H54" s="77" t="n"/>
      <c r="I54" s="77" t="n"/>
      <c r="J54" s="80" t="n"/>
      <c r="K54" s="92" t="n"/>
      <c r="L54" s="76">
        <f>IF(UPPER(K54)="Y",D54,0)</f>
        <v/>
      </c>
      <c r="M54" s="82" t="n"/>
    </row>
    <row r="55">
      <c r="A55" s="73" t="inlineStr">
        <is>
          <t>XL</t>
        </is>
      </c>
      <c r="B55" s="74" t="inlineStr">
        <is>
          <t>25 mm</t>
        </is>
      </c>
      <c r="C55" s="75" t="n">
        <v>1</v>
      </c>
      <c r="D55" s="76" t="n">
        <v>2</v>
      </c>
      <c r="E55" s="77" t="n"/>
      <c r="F55" s="77" t="n"/>
      <c r="G55" s="78" t="n"/>
      <c r="H55" s="77" t="n"/>
      <c r="I55" s="77" t="n"/>
      <c r="J55" s="80" t="n"/>
      <c r="K55" s="92" t="n"/>
      <c r="L55" s="76">
        <f>IF(UPPER(K55)="Y",D55,0)</f>
        <v/>
      </c>
      <c r="M55" s="82" t="n"/>
    </row>
    <row r="56">
      <c r="A56" s="73" t="inlineStr">
        <is>
          <t>XL</t>
        </is>
      </c>
      <c r="B56" s="74" t="inlineStr">
        <is>
          <t>25 mm</t>
        </is>
      </c>
      <c r="C56" s="75" t="n">
        <v>1</v>
      </c>
      <c r="D56" s="76" t="n">
        <v>3</v>
      </c>
      <c r="E56" s="77" t="n"/>
      <c r="F56" s="77" t="n"/>
      <c r="G56" s="78" t="n"/>
      <c r="H56" s="77" t="n"/>
      <c r="I56" s="77" t="n"/>
      <c r="J56" s="80" t="n"/>
      <c r="K56" s="92" t="n"/>
      <c r="L56" s="76">
        <f>IF(UPPER(K56)="Y",D56,0)</f>
        <v/>
      </c>
      <c r="M56" s="82" t="n"/>
    </row>
    <row r="57">
      <c r="A57" s="73" t="inlineStr">
        <is>
          <t>XL</t>
        </is>
      </c>
      <c r="B57" s="74" t="inlineStr">
        <is>
          <t>25 mm</t>
        </is>
      </c>
      <c r="C57" s="75" t="n">
        <v>1</v>
      </c>
      <c r="D57" s="76" t="n">
        <v>4</v>
      </c>
      <c r="E57" s="77" t="n"/>
      <c r="F57" s="77" t="n"/>
      <c r="G57" s="78" t="n"/>
      <c r="H57" s="77" t="n"/>
      <c r="I57" s="77" t="n"/>
      <c r="J57" s="80" t="n"/>
      <c r="K57" s="92" t="n"/>
      <c r="L57" s="76">
        <f>IF(UPPER(K57)="Y",D57,0)</f>
        <v/>
      </c>
      <c r="M57" s="82" t="n"/>
    </row>
    <row r="58">
      <c r="A58" s="73" t="inlineStr">
        <is>
          <t>XL</t>
        </is>
      </c>
      <c r="B58" s="74" t="inlineStr">
        <is>
          <t>25 mm</t>
        </is>
      </c>
      <c r="C58" s="75" t="n">
        <v>1</v>
      </c>
      <c r="D58" s="76" t="n">
        <v>5</v>
      </c>
      <c r="E58" s="77" t="n"/>
      <c r="F58" s="77" t="n"/>
      <c r="G58" s="78" t="n"/>
      <c r="H58" s="77" t="n"/>
      <c r="I58" s="77" t="n"/>
      <c r="J58" s="80" t="n"/>
      <c r="K58" s="92" t="n"/>
      <c r="L58" s="76">
        <f>IF(UPPER(K58)="Y",D58,0)</f>
        <v/>
      </c>
      <c r="M58" s="82" t="n"/>
    </row>
    <row r="59">
      <c r="A59" s="73" t="inlineStr">
        <is>
          <t>Kingbright</t>
        </is>
      </c>
      <c r="B59" s="74" t="inlineStr">
        <is>
          <t>25 mm</t>
        </is>
      </c>
      <c r="C59" s="75" t="n">
        <v>1</v>
      </c>
      <c r="D59" s="76" t="n">
        <v>1</v>
      </c>
      <c r="E59" s="77" t="n"/>
      <c r="F59" s="77" t="n"/>
      <c r="G59" s="78" t="n"/>
      <c r="H59" s="77" t="n"/>
      <c r="I59" s="77" t="n"/>
      <c r="J59" s="80" t="n"/>
      <c r="K59" s="92" t="n"/>
      <c r="L59" s="76">
        <f>IF(UPPER(K59)="Y",D59,0)</f>
        <v/>
      </c>
      <c r="M59" s="82" t="n"/>
    </row>
    <row r="60">
      <c r="A60" s="73" t="inlineStr">
        <is>
          <t>Kingbright</t>
        </is>
      </c>
      <c r="B60" s="74" t="inlineStr">
        <is>
          <t>25 mm</t>
        </is>
      </c>
      <c r="C60" s="75" t="n">
        <v>1</v>
      </c>
      <c r="D60" s="76" t="n">
        <v>2</v>
      </c>
      <c r="E60" s="77" t="n"/>
      <c r="F60" s="77" t="n"/>
      <c r="G60" s="78" t="n"/>
      <c r="H60" s="77" t="n"/>
      <c r="I60" s="77" t="n"/>
      <c r="J60" s="80" t="n"/>
      <c r="K60" s="92" t="n"/>
      <c r="L60" s="76">
        <f>IF(UPPER(K60)="Y",D60,0)</f>
        <v/>
      </c>
      <c r="M60" s="82" t="n"/>
    </row>
    <row r="61">
      <c r="A61" s="73" t="inlineStr">
        <is>
          <t>Kingbright</t>
        </is>
      </c>
      <c r="B61" s="74" t="inlineStr">
        <is>
          <t>25 mm</t>
        </is>
      </c>
      <c r="C61" s="75" t="n">
        <v>1</v>
      </c>
      <c r="D61" s="76" t="n">
        <v>3</v>
      </c>
      <c r="E61" s="77" t="n"/>
      <c r="F61" s="77" t="n"/>
      <c r="G61" s="78" t="n"/>
      <c r="H61" s="77" t="n"/>
      <c r="I61" s="77" t="n"/>
      <c r="J61" s="80" t="n"/>
      <c r="K61" s="92" t="n"/>
      <c r="L61" s="76">
        <f>IF(UPPER(K61)="Y",D61,0)</f>
        <v/>
      </c>
      <c r="M61" s="82" t="n"/>
    </row>
    <row r="62">
      <c r="A62" s="73" t="inlineStr">
        <is>
          <t>Kingbright</t>
        </is>
      </c>
      <c r="B62" s="74" t="inlineStr">
        <is>
          <t>25 mm</t>
        </is>
      </c>
      <c r="C62" s="75" t="n">
        <v>1</v>
      </c>
      <c r="D62" s="76" t="n">
        <v>4</v>
      </c>
      <c r="E62" s="77" t="n"/>
      <c r="F62" s="77" t="n"/>
      <c r="G62" s="78" t="n"/>
      <c r="H62" s="77" t="n"/>
      <c r="I62" s="77" t="n"/>
      <c r="J62" s="80" t="n"/>
      <c r="K62" s="92" t="n"/>
      <c r="L62" s="76">
        <f>IF(UPPER(K62)="Y",D62,0)</f>
        <v/>
      </c>
      <c r="M62" s="82" t="n"/>
    </row>
    <row r="63">
      <c r="A63" s="73" t="inlineStr">
        <is>
          <t>Kingbright</t>
        </is>
      </c>
      <c r="B63" s="74" t="inlineStr">
        <is>
          <t>25 mm</t>
        </is>
      </c>
      <c r="C63" s="75" t="n">
        <v>1</v>
      </c>
      <c r="D63" s="76" t="n">
        <v>5</v>
      </c>
      <c r="E63" s="77" t="n"/>
      <c r="F63" s="77" t="n"/>
      <c r="G63" s="78" t="n"/>
      <c r="H63" s="77" t="n"/>
      <c r="I63" s="77" t="n"/>
      <c r="J63" s="80" t="n"/>
      <c r="K63" s="92" t="n"/>
      <c r="L63" s="76">
        <f>IF(UPPER(K63)="Y",D63,0)</f>
        <v/>
      </c>
      <c r="M63" s="8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F3864"/>
    <outlinePr summaryBelow="1" summaryRight="1"/>
    <pageSetUpPr/>
  </sheetPr>
  <dimension ref="A1:O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10" customWidth="1" min="4" max="4"/>
    <col width="10" customWidth="1" min="5" max="5"/>
    <col width="9" customWidth="1" min="6" max="6"/>
    <col width="11" customWidth="1" min="7" max="7"/>
    <col width="12" customWidth="1" min="8" max="8"/>
    <col width="11" customWidth="1" min="9" max="9"/>
    <col width="9" customWidth="1" min="10" max="10"/>
    <col width="11" customWidth="1" min="11" max="11"/>
    <col width="12" customWidth="1" min="12" max="12"/>
    <col width="13" customWidth="1" min="13" max="13"/>
    <col width="13" customWidth="1" min="14" max="14"/>
    <col width="11" customWidth="1" min="15" max="15"/>
  </cols>
  <sheetData>
    <row r="1" ht="18" customHeight="1">
      <c r="A1" s="54" t="inlineStr">
        <is>
          <t>SUMMARY - fills in automatically as you enter data</t>
        </is>
      </c>
    </row>
    <row r="2">
      <c r="A2" s="55" t="inlineStr">
        <is>
          <t>Black = calculated. One row per LED type per build. RANK covers the 8 real markers only - the bare rows are a reference.</t>
        </is>
      </c>
    </row>
    <row r="3" ht="30" customHeight="1">
      <c r="A3" s="56" t="inlineStr">
        <is>
          <t>LED Type</t>
        </is>
      </c>
      <c r="B3" s="56" t="inlineStr">
        <is>
          <t>Build</t>
        </is>
      </c>
      <c r="C3" s="56" t="inlineStr">
        <is>
          <t>Drive I
(mA)</t>
        </is>
      </c>
      <c r="D3" s="56" t="inlineStr">
        <is>
          <t>Exposure
(us)</t>
        </is>
      </c>
      <c r="E3" s="56" t="inlineStr">
        <is>
          <t>Peak
mean</t>
        </is>
      </c>
      <c r="F3" s="56" t="inlineStr">
        <is>
          <t>Sat px
max</t>
        </is>
      </c>
      <c r="G3" s="56" t="inlineStr">
        <is>
          <t>Area
mean</t>
        </is>
      </c>
      <c r="H3" s="56" t="inlineStr">
        <is>
          <t>sigma_RMS
mean</t>
        </is>
      </c>
      <c r="I3" s="56" t="inlineStr">
        <is>
          <t>sig_v/sig_u</t>
        </is>
      </c>
      <c r="J3" s="56" t="inlineStr">
        <is>
          <t>Blend
gate</t>
        </is>
      </c>
      <c r="K3" s="56" t="inlineStr">
        <is>
          <t>Roll bias
max (px)</t>
        </is>
      </c>
      <c r="L3" s="56" t="inlineStr">
        <is>
          <t>Area kept
at 45 deg</t>
        </is>
      </c>
      <c r="M3" s="56" t="inlineStr">
        <is>
          <t>Max range
detected (m)</t>
        </is>
      </c>
      <c r="N3" s="56" t="inlineStr">
        <is>
          <t>Saturating?</t>
        </is>
      </c>
      <c r="O3" s="56" t="inlineStr">
        <is>
          <t>RANK
(1 = best)</t>
        </is>
      </c>
    </row>
    <row r="4">
      <c r="A4" s="63" t="inlineStr">
        <is>
          <t>Vishay</t>
        </is>
      </c>
      <c r="B4" s="64" t="inlineStr">
        <is>
          <t>bare (ref)</t>
        </is>
      </c>
      <c r="C4" s="66">
        <f>IFERROR(A_Bench!D5,"")</f>
        <v/>
      </c>
      <c r="D4" s="65">
        <f>IFERROR(A_Bench!E5,"")</f>
        <v/>
      </c>
      <c r="E4" s="65">
        <f>IFERROR(AVERAGE(A_Bench!F5:F5),"")</f>
        <v/>
      </c>
      <c r="F4" s="66">
        <f>IFERROR(MAX(A_Bench!G5:G5),"")</f>
        <v/>
      </c>
      <c r="G4" s="65">
        <f>IFERROR(AVERAGE(A_Bench!J5:J5),"")</f>
        <v/>
      </c>
      <c r="H4" s="71">
        <f>IFERROR(AVERAGE(A_Bench!Q5:Q5),"")</f>
        <v/>
      </c>
      <c r="I4" s="66">
        <f>IFERROR(A_Bench!R5,"")</f>
        <v/>
      </c>
      <c r="J4" s="64">
        <f>IFERROR(A_Bench!N5,"")</f>
        <v/>
      </c>
      <c r="K4" s="93" t="inlineStr">
        <is>
          <t>n/a</t>
        </is>
      </c>
      <c r="L4" s="84">
        <f>IFERROR(B_Angle!I7,"")</f>
        <v/>
      </c>
      <c r="M4" s="66">
        <f>IFERROR(MAX(C_Range!L4:L8),"")</f>
        <v/>
      </c>
      <c r="N4" s="64">
        <f>IF(F4="","",IF(F4&gt;0,"YES - REJECT","no"))</f>
        <v/>
      </c>
      <c r="O4" s="93" t="inlineStr">
        <is>
          <t>ref</t>
        </is>
      </c>
    </row>
    <row r="5">
      <c r="A5" s="73" t="inlineStr">
        <is>
          <t>Everlight</t>
        </is>
      </c>
      <c r="B5" s="74" t="inlineStr">
        <is>
          <t>bare (ref)</t>
        </is>
      </c>
      <c r="C5" s="76">
        <f>IFERROR(A_Bench!D6,"")</f>
        <v/>
      </c>
      <c r="D5" s="75">
        <f>IFERROR(A_Bench!E6,"")</f>
        <v/>
      </c>
      <c r="E5" s="75">
        <f>IFERROR(AVERAGE(A_Bench!F6:F6),"")</f>
        <v/>
      </c>
      <c r="F5" s="76">
        <f>IFERROR(MAX(A_Bench!G6:G6),"")</f>
        <v/>
      </c>
      <c r="G5" s="75">
        <f>IFERROR(AVERAGE(A_Bench!J6:J6),"")</f>
        <v/>
      </c>
      <c r="H5" s="81">
        <f>IFERROR(AVERAGE(A_Bench!Q6:Q6),"")</f>
        <v/>
      </c>
      <c r="I5" s="76">
        <f>IFERROR(A_Bench!R6,"")</f>
        <v/>
      </c>
      <c r="J5" s="74">
        <f>IFERROR(A_Bench!N6,"")</f>
        <v/>
      </c>
      <c r="K5" s="58" t="inlineStr">
        <is>
          <t>n/a</t>
        </is>
      </c>
      <c r="L5" s="85">
        <f>IFERROR(B_Angle!I12,"")</f>
        <v/>
      </c>
      <c r="M5" s="76">
        <f>IFERROR(MAX(C_Range!L9:L13),"")</f>
        <v/>
      </c>
      <c r="N5" s="74">
        <f>IF(F5="","",IF(F5&gt;0,"YES - REJECT","no"))</f>
        <v/>
      </c>
      <c r="O5" s="58" t="inlineStr">
        <is>
          <t>ref</t>
        </is>
      </c>
    </row>
    <row r="6">
      <c r="A6" s="73" t="inlineStr">
        <is>
          <t>XL</t>
        </is>
      </c>
      <c r="B6" s="74" t="inlineStr">
        <is>
          <t>bare (ref)</t>
        </is>
      </c>
      <c r="C6" s="76">
        <f>IFERROR(A_Bench!D7,"")</f>
        <v/>
      </c>
      <c r="D6" s="75">
        <f>IFERROR(A_Bench!E7,"")</f>
        <v/>
      </c>
      <c r="E6" s="75">
        <f>IFERROR(AVERAGE(A_Bench!F7:F7),"")</f>
        <v/>
      </c>
      <c r="F6" s="76">
        <f>IFERROR(MAX(A_Bench!G7:G7),"")</f>
        <v/>
      </c>
      <c r="G6" s="75">
        <f>IFERROR(AVERAGE(A_Bench!J7:J7),"")</f>
        <v/>
      </c>
      <c r="H6" s="81">
        <f>IFERROR(AVERAGE(A_Bench!Q7:Q7),"")</f>
        <v/>
      </c>
      <c r="I6" s="76">
        <f>IFERROR(A_Bench!R7,"")</f>
        <v/>
      </c>
      <c r="J6" s="74">
        <f>IFERROR(A_Bench!N7,"")</f>
        <v/>
      </c>
      <c r="K6" s="58" t="inlineStr">
        <is>
          <t>n/a</t>
        </is>
      </c>
      <c r="L6" s="85">
        <f>IFERROR(B_Angle!I17,"")</f>
        <v/>
      </c>
      <c r="M6" s="76">
        <f>IFERROR(MAX(C_Range!L14:L18),"")</f>
        <v/>
      </c>
      <c r="N6" s="74">
        <f>IF(F6="","",IF(F6&gt;0,"YES - REJECT","no"))</f>
        <v/>
      </c>
      <c r="O6" s="58" t="inlineStr">
        <is>
          <t>ref</t>
        </is>
      </c>
    </row>
    <row r="7">
      <c r="A7" s="73" t="inlineStr">
        <is>
          <t>Kingbright</t>
        </is>
      </c>
      <c r="B7" s="74" t="inlineStr">
        <is>
          <t>bare (ref)</t>
        </is>
      </c>
      <c r="C7" s="76">
        <f>IFERROR(A_Bench!D8,"")</f>
        <v/>
      </c>
      <c r="D7" s="75">
        <f>IFERROR(A_Bench!E8,"")</f>
        <v/>
      </c>
      <c r="E7" s="75">
        <f>IFERROR(AVERAGE(A_Bench!F8:F8),"")</f>
        <v/>
      </c>
      <c r="F7" s="76">
        <f>IFERROR(MAX(A_Bench!G8:G8),"")</f>
        <v/>
      </c>
      <c r="G7" s="75">
        <f>IFERROR(AVERAGE(A_Bench!J8:J8),"")</f>
        <v/>
      </c>
      <c r="H7" s="81">
        <f>IFERROR(AVERAGE(A_Bench!Q8:Q8),"")</f>
        <v/>
      </c>
      <c r="I7" s="76">
        <f>IFERROR(A_Bench!R8,"")</f>
        <v/>
      </c>
      <c r="J7" s="74">
        <f>IFERROR(A_Bench!N8,"")</f>
        <v/>
      </c>
      <c r="K7" s="58" t="inlineStr">
        <is>
          <t>n/a</t>
        </is>
      </c>
      <c r="L7" s="85">
        <f>IFERROR(B_Angle!I22,"")</f>
        <v/>
      </c>
      <c r="M7" s="76">
        <f>IFERROR(MAX(C_Range!L19:L23),"")</f>
        <v/>
      </c>
      <c r="N7" s="74">
        <f>IF(F7="","",IF(F7&gt;0,"YES - REJECT","no"))</f>
        <v/>
      </c>
      <c r="O7" s="58" t="inlineStr">
        <is>
          <t>ref</t>
        </is>
      </c>
    </row>
    <row r="8">
      <c r="A8" s="63" t="inlineStr">
        <is>
          <t>Vishay</t>
        </is>
      </c>
      <c r="B8" s="64" t="inlineStr">
        <is>
          <t>20 mm</t>
        </is>
      </c>
      <c r="C8" s="66">
        <f>IFERROR(A_Bench!D9,"")</f>
        <v/>
      </c>
      <c r="D8" s="65">
        <f>IFERROR(A_Bench!E9,"")</f>
        <v/>
      </c>
      <c r="E8" s="65">
        <f>IFERROR(AVERAGE(A_Bench!F9:F9),"")</f>
        <v/>
      </c>
      <c r="F8" s="66">
        <f>IFERROR(MAX(A_Bench!G9:G9),"")</f>
        <v/>
      </c>
      <c r="G8" s="65">
        <f>IFERROR(AVERAGE(A_Bench!J9:J9),"")</f>
        <v/>
      </c>
      <c r="H8" s="71">
        <f>IFERROR(AVERAGE(A_Bench!Q9:Q9),"")</f>
        <v/>
      </c>
      <c r="I8" s="66">
        <f>IFERROR(A_Bench!R9,"")</f>
        <v/>
      </c>
      <c r="J8" s="64">
        <f>IFERROR(A_Bench!N9,"")</f>
        <v/>
      </c>
      <c r="K8" s="88">
        <f>IF(COUNT(B_Angle!J68:J72)=0,"",MAX(B_Angle!J68:J72))</f>
        <v/>
      </c>
      <c r="L8" s="84">
        <f>IFERROR(B_Angle!I27,"")</f>
        <v/>
      </c>
      <c r="M8" s="66">
        <f>IFERROR(MAX(C_Range!L24:L28),"")</f>
        <v/>
      </c>
      <c r="N8" s="64">
        <f>IF(F8="","",IF(F8&gt;0,"YES - REJECT","no"))</f>
        <v/>
      </c>
      <c r="O8" s="65">
        <f>IFERROR(RANK(H8,$H$8:$H$15,1),"")</f>
        <v/>
      </c>
    </row>
    <row r="9">
      <c r="A9" s="73" t="inlineStr">
        <is>
          <t>Everlight</t>
        </is>
      </c>
      <c r="B9" s="74" t="inlineStr">
        <is>
          <t>20 mm</t>
        </is>
      </c>
      <c r="C9" s="76">
        <f>IFERROR(A_Bench!D10,"")</f>
        <v/>
      </c>
      <c r="D9" s="75">
        <f>IFERROR(A_Bench!E10,"")</f>
        <v/>
      </c>
      <c r="E9" s="75">
        <f>IFERROR(AVERAGE(A_Bench!F10:F10),"")</f>
        <v/>
      </c>
      <c r="F9" s="76">
        <f>IFERROR(MAX(A_Bench!G10:G10),"")</f>
        <v/>
      </c>
      <c r="G9" s="75">
        <f>IFERROR(AVERAGE(A_Bench!J10:J10),"")</f>
        <v/>
      </c>
      <c r="H9" s="81">
        <f>IFERROR(AVERAGE(A_Bench!Q10:Q10),"")</f>
        <v/>
      </c>
      <c r="I9" s="76">
        <f>IFERROR(A_Bench!R10,"")</f>
        <v/>
      </c>
      <c r="J9" s="74">
        <f>IFERROR(A_Bench!N10,"")</f>
        <v/>
      </c>
      <c r="K9" s="90">
        <f>IF(COUNT(B_Angle!J73:J77)=0,"",MAX(B_Angle!J73:J77))</f>
        <v/>
      </c>
      <c r="L9" s="85">
        <f>IFERROR(B_Angle!I32,"")</f>
        <v/>
      </c>
      <c r="M9" s="76">
        <f>IFERROR(MAX(C_Range!L29:L33),"")</f>
        <v/>
      </c>
      <c r="N9" s="74">
        <f>IF(F9="","",IF(F9&gt;0,"YES - REJECT","no"))</f>
        <v/>
      </c>
      <c r="O9" s="75">
        <f>IFERROR(RANK(H9,$H$8:$H$15,1),"")</f>
        <v/>
      </c>
    </row>
    <row r="10">
      <c r="A10" s="73" t="inlineStr">
        <is>
          <t>XL</t>
        </is>
      </c>
      <c r="B10" s="74" t="inlineStr">
        <is>
          <t>20 mm</t>
        </is>
      </c>
      <c r="C10" s="76">
        <f>IFERROR(A_Bench!D11,"")</f>
        <v/>
      </c>
      <c r="D10" s="75">
        <f>IFERROR(A_Bench!E11,"")</f>
        <v/>
      </c>
      <c r="E10" s="75">
        <f>IFERROR(AVERAGE(A_Bench!F11:F11),"")</f>
        <v/>
      </c>
      <c r="F10" s="76">
        <f>IFERROR(MAX(A_Bench!G11:G11),"")</f>
        <v/>
      </c>
      <c r="G10" s="75">
        <f>IFERROR(AVERAGE(A_Bench!J11:J11),"")</f>
        <v/>
      </c>
      <c r="H10" s="81">
        <f>IFERROR(AVERAGE(A_Bench!Q11:Q11),"")</f>
        <v/>
      </c>
      <c r="I10" s="76">
        <f>IFERROR(A_Bench!R11,"")</f>
        <v/>
      </c>
      <c r="J10" s="74">
        <f>IFERROR(A_Bench!N11,"")</f>
        <v/>
      </c>
      <c r="K10" s="90">
        <f>IF(COUNT(B_Angle!J78:J82)=0,"",MAX(B_Angle!J78:J82))</f>
        <v/>
      </c>
      <c r="L10" s="85">
        <f>IFERROR(B_Angle!I37,"")</f>
        <v/>
      </c>
      <c r="M10" s="76">
        <f>IFERROR(MAX(C_Range!L34:L38),"")</f>
        <v/>
      </c>
      <c r="N10" s="74">
        <f>IF(F10="","",IF(F10&gt;0,"YES - REJECT","no"))</f>
        <v/>
      </c>
      <c r="O10" s="75">
        <f>IFERROR(RANK(H10,$H$8:$H$15,1),"")</f>
        <v/>
      </c>
    </row>
    <row r="11">
      <c r="A11" s="73" t="inlineStr">
        <is>
          <t>Kingbright</t>
        </is>
      </c>
      <c r="B11" s="74" t="inlineStr">
        <is>
          <t>20 mm</t>
        </is>
      </c>
      <c r="C11" s="76">
        <f>IFERROR(A_Bench!D12,"")</f>
        <v/>
      </c>
      <c r="D11" s="75">
        <f>IFERROR(A_Bench!E12,"")</f>
        <v/>
      </c>
      <c r="E11" s="75">
        <f>IFERROR(AVERAGE(A_Bench!F12:F12),"")</f>
        <v/>
      </c>
      <c r="F11" s="76">
        <f>IFERROR(MAX(A_Bench!G12:G12),"")</f>
        <v/>
      </c>
      <c r="G11" s="75">
        <f>IFERROR(AVERAGE(A_Bench!J12:J12),"")</f>
        <v/>
      </c>
      <c r="H11" s="81">
        <f>IFERROR(AVERAGE(A_Bench!Q12:Q12),"")</f>
        <v/>
      </c>
      <c r="I11" s="76">
        <f>IFERROR(A_Bench!R12,"")</f>
        <v/>
      </c>
      <c r="J11" s="74">
        <f>IFERROR(A_Bench!N12,"")</f>
        <v/>
      </c>
      <c r="K11" s="90">
        <f>IF(COUNT(B_Angle!J83:J87)=0,"",MAX(B_Angle!J83:J87))</f>
        <v/>
      </c>
      <c r="L11" s="85">
        <f>IFERROR(B_Angle!I42,"")</f>
        <v/>
      </c>
      <c r="M11" s="76">
        <f>IFERROR(MAX(C_Range!L39:L43),"")</f>
        <v/>
      </c>
      <c r="N11" s="74">
        <f>IF(F11="","",IF(F11&gt;0,"YES - REJECT","no"))</f>
        <v/>
      </c>
      <c r="O11" s="75">
        <f>IFERROR(RANK(H11,$H$8:$H$15,1),"")</f>
        <v/>
      </c>
    </row>
    <row r="12">
      <c r="A12" s="63" t="inlineStr">
        <is>
          <t>Vishay</t>
        </is>
      </c>
      <c r="B12" s="64" t="inlineStr">
        <is>
          <t>25 mm</t>
        </is>
      </c>
      <c r="C12" s="66">
        <f>IFERROR(A_Bench!D13,"")</f>
        <v/>
      </c>
      <c r="D12" s="65">
        <f>IFERROR(A_Bench!E13,"")</f>
        <v/>
      </c>
      <c r="E12" s="65">
        <f>IFERROR(AVERAGE(A_Bench!F13:F13),"")</f>
        <v/>
      </c>
      <c r="F12" s="66">
        <f>IFERROR(MAX(A_Bench!G13:G13),"")</f>
        <v/>
      </c>
      <c r="G12" s="65">
        <f>IFERROR(AVERAGE(A_Bench!J13:J13),"")</f>
        <v/>
      </c>
      <c r="H12" s="71">
        <f>IFERROR(AVERAGE(A_Bench!Q13:Q13),"")</f>
        <v/>
      </c>
      <c r="I12" s="66">
        <f>IFERROR(A_Bench!R13,"")</f>
        <v/>
      </c>
      <c r="J12" s="64">
        <f>IFERROR(A_Bench!N13,"")</f>
        <v/>
      </c>
      <c r="K12" s="88">
        <f>IF(COUNT(B_Angle!J88:J92)=0,"",MAX(B_Angle!J88:J92))</f>
        <v/>
      </c>
      <c r="L12" s="84">
        <f>IFERROR(B_Angle!I47,"")</f>
        <v/>
      </c>
      <c r="M12" s="66">
        <f>IFERROR(MAX(C_Range!L44:L48),"")</f>
        <v/>
      </c>
      <c r="N12" s="64">
        <f>IF(F12="","",IF(F12&gt;0,"YES - REJECT","no"))</f>
        <v/>
      </c>
      <c r="O12" s="65">
        <f>IFERROR(RANK(H12,$H$8:$H$15,1),"")</f>
        <v/>
      </c>
    </row>
    <row r="13">
      <c r="A13" s="73" t="inlineStr">
        <is>
          <t>Everlight</t>
        </is>
      </c>
      <c r="B13" s="74" t="inlineStr">
        <is>
          <t>25 mm</t>
        </is>
      </c>
      <c r="C13" s="76">
        <f>IFERROR(A_Bench!D14,"")</f>
        <v/>
      </c>
      <c r="D13" s="75">
        <f>IFERROR(A_Bench!E14,"")</f>
        <v/>
      </c>
      <c r="E13" s="75">
        <f>IFERROR(AVERAGE(A_Bench!F14:F14),"")</f>
        <v/>
      </c>
      <c r="F13" s="76">
        <f>IFERROR(MAX(A_Bench!G14:G14),"")</f>
        <v/>
      </c>
      <c r="G13" s="75">
        <f>IFERROR(AVERAGE(A_Bench!J14:J14),"")</f>
        <v/>
      </c>
      <c r="H13" s="81">
        <f>IFERROR(AVERAGE(A_Bench!Q14:Q14),"")</f>
        <v/>
      </c>
      <c r="I13" s="76">
        <f>IFERROR(A_Bench!R14,"")</f>
        <v/>
      </c>
      <c r="J13" s="74">
        <f>IFERROR(A_Bench!N14,"")</f>
        <v/>
      </c>
      <c r="K13" s="90">
        <f>IF(COUNT(B_Angle!J93:J97)=0,"",MAX(B_Angle!J93:J97))</f>
        <v/>
      </c>
      <c r="L13" s="85">
        <f>IFERROR(B_Angle!I52,"")</f>
        <v/>
      </c>
      <c r="M13" s="76">
        <f>IFERROR(MAX(C_Range!L49:L53),"")</f>
        <v/>
      </c>
      <c r="N13" s="74">
        <f>IF(F13="","",IF(F13&gt;0,"YES - REJECT","no"))</f>
        <v/>
      </c>
      <c r="O13" s="75">
        <f>IFERROR(RANK(H13,$H$8:$H$15,1),"")</f>
        <v/>
      </c>
    </row>
    <row r="14">
      <c r="A14" s="73" t="inlineStr">
        <is>
          <t>XL</t>
        </is>
      </c>
      <c r="B14" s="74" t="inlineStr">
        <is>
          <t>25 mm</t>
        </is>
      </c>
      <c r="C14" s="76">
        <f>IFERROR(A_Bench!D15,"")</f>
        <v/>
      </c>
      <c r="D14" s="75">
        <f>IFERROR(A_Bench!E15,"")</f>
        <v/>
      </c>
      <c r="E14" s="75">
        <f>IFERROR(AVERAGE(A_Bench!F15:F15),"")</f>
        <v/>
      </c>
      <c r="F14" s="76">
        <f>IFERROR(MAX(A_Bench!G15:G15),"")</f>
        <v/>
      </c>
      <c r="G14" s="75">
        <f>IFERROR(AVERAGE(A_Bench!J15:J15),"")</f>
        <v/>
      </c>
      <c r="H14" s="81">
        <f>IFERROR(AVERAGE(A_Bench!Q15:Q15),"")</f>
        <v/>
      </c>
      <c r="I14" s="76">
        <f>IFERROR(A_Bench!R15,"")</f>
        <v/>
      </c>
      <c r="J14" s="74">
        <f>IFERROR(A_Bench!N15,"")</f>
        <v/>
      </c>
      <c r="K14" s="90">
        <f>IF(COUNT(B_Angle!J98:J102)=0,"",MAX(B_Angle!J98:J102))</f>
        <v/>
      </c>
      <c r="L14" s="85">
        <f>IFERROR(B_Angle!I57,"")</f>
        <v/>
      </c>
      <c r="M14" s="76">
        <f>IFERROR(MAX(C_Range!L54:L58),"")</f>
        <v/>
      </c>
      <c r="N14" s="74">
        <f>IF(F14="","",IF(F14&gt;0,"YES - REJECT","no"))</f>
        <v/>
      </c>
      <c r="O14" s="75">
        <f>IFERROR(RANK(H14,$H$8:$H$15,1),"")</f>
        <v/>
      </c>
    </row>
    <row r="15">
      <c r="A15" s="73" t="inlineStr">
        <is>
          <t>Kingbright</t>
        </is>
      </c>
      <c r="B15" s="74" t="inlineStr">
        <is>
          <t>25 mm</t>
        </is>
      </c>
      <c r="C15" s="76">
        <f>IFERROR(A_Bench!D16,"")</f>
        <v/>
      </c>
      <c r="D15" s="75">
        <f>IFERROR(A_Bench!E16,"")</f>
        <v/>
      </c>
      <c r="E15" s="75">
        <f>IFERROR(AVERAGE(A_Bench!F16:F16),"")</f>
        <v/>
      </c>
      <c r="F15" s="76">
        <f>IFERROR(MAX(A_Bench!G16:G16),"")</f>
        <v/>
      </c>
      <c r="G15" s="75">
        <f>IFERROR(AVERAGE(A_Bench!J16:J16),"")</f>
        <v/>
      </c>
      <c r="H15" s="81">
        <f>IFERROR(AVERAGE(A_Bench!Q16:Q16),"")</f>
        <v/>
      </c>
      <c r="I15" s="76">
        <f>IFERROR(A_Bench!R16,"")</f>
        <v/>
      </c>
      <c r="J15" s="74">
        <f>IFERROR(A_Bench!N16,"")</f>
        <v/>
      </c>
      <c r="K15" s="90">
        <f>IF(COUNT(B_Angle!J103:J107)=0,"",MAX(B_Angle!J103:J107))</f>
        <v/>
      </c>
      <c r="L15" s="85">
        <f>IFERROR(B_Angle!I62,"")</f>
        <v/>
      </c>
      <c r="M15" s="76">
        <f>IFERROR(MAX(C_Range!L59:L63),"")</f>
        <v/>
      </c>
      <c r="N15" s="74">
        <f>IF(F15="","",IF(F15&gt;0,"YES - REJECT","no"))</f>
        <v/>
      </c>
      <c r="O15" s="75">
        <f>IFERROR(RANK(H15,$H$8:$H$15,1),"")</f>
        <v/>
      </c>
    </row>
    <row r="17">
      <c r="A17" s="86" t="inlineStr">
        <is>
          <t>20 mm vs 25 mm, per LED type</t>
        </is>
      </c>
    </row>
    <row r="18" ht="30" customHeight="1">
      <c r="A18" s="56" t="inlineStr">
        <is>
          <t>LED Type</t>
        </is>
      </c>
      <c r="B18" s="56" t="inlineStr">
        <is>
          <t>sigma_RMS
20 mm</t>
        </is>
      </c>
      <c r="C18" s="56" t="inlineStr">
        <is>
          <t>sigma_RMS
25 mm</t>
        </is>
      </c>
      <c r="D18" s="56" t="inlineStr">
        <is>
          <t>Lower
sigma</t>
        </is>
      </c>
      <c r="E18" s="56" t="inlineStr">
        <is>
          <t>Blend
20 mm</t>
        </is>
      </c>
      <c r="F18" s="56" t="inlineStr">
        <is>
          <t>Blend
25 mm</t>
        </is>
      </c>
      <c r="G18" s="56" t="inlineStr">
        <is>
          <t>Roll bias
20 mm</t>
        </is>
      </c>
      <c r="H18" s="56" t="inlineStr">
        <is>
          <t>Roll bias
25 mm</t>
        </is>
      </c>
      <c r="I18" s="56" t="inlineStr">
        <is>
          <t>Lower
roll bias</t>
        </is>
      </c>
    </row>
    <row r="19">
      <c r="A19" s="73" t="inlineStr">
        <is>
          <t>Vishay</t>
        </is>
      </c>
      <c r="B19" s="81">
        <f>IF(H8="","",H8)</f>
        <v/>
      </c>
      <c r="C19" s="81">
        <f>IF(H12="","",H12)</f>
        <v/>
      </c>
      <c r="D19" s="74">
        <f>IF(OR(B19="",C19=""),"",IF(B19&lt;C19,"20 mm",IF(C19&lt;B19,"25 mm","tie")))</f>
        <v/>
      </c>
      <c r="E19" s="74">
        <f>IF(J8="","",J8)</f>
        <v/>
      </c>
      <c r="F19" s="74">
        <f>IF(J12="","",J12)</f>
        <v/>
      </c>
      <c r="G19" s="90">
        <f>IF(K8="","",K8)</f>
        <v/>
      </c>
      <c r="H19" s="90">
        <f>IF(K12="","",K12)</f>
        <v/>
      </c>
      <c r="I19" s="74">
        <f>IF(OR(G19="",H19=""),"",IF(G19&lt;H19,"20 mm",IF(H19&lt;G19,"25 mm","tie")))</f>
        <v/>
      </c>
    </row>
    <row r="20">
      <c r="A20" s="73" t="inlineStr">
        <is>
          <t>Everlight</t>
        </is>
      </c>
      <c r="B20" s="81">
        <f>IF(H9="","",H9)</f>
        <v/>
      </c>
      <c r="C20" s="81">
        <f>IF(H13="","",H13)</f>
        <v/>
      </c>
      <c r="D20" s="74">
        <f>IF(OR(B20="",C20=""),"",IF(B20&lt;C20,"20 mm",IF(C20&lt;B20,"25 mm","tie")))</f>
        <v/>
      </c>
      <c r="E20" s="74">
        <f>IF(J9="","",J9)</f>
        <v/>
      </c>
      <c r="F20" s="74">
        <f>IF(J13="","",J13)</f>
        <v/>
      </c>
      <c r="G20" s="90">
        <f>IF(K9="","",K9)</f>
        <v/>
      </c>
      <c r="H20" s="90">
        <f>IF(K13="","",K13)</f>
        <v/>
      </c>
      <c r="I20" s="74">
        <f>IF(OR(G20="",H20=""),"",IF(G20&lt;H20,"20 mm",IF(H20&lt;G20,"25 mm","tie")))</f>
        <v/>
      </c>
    </row>
    <row r="21">
      <c r="A21" s="73" t="inlineStr">
        <is>
          <t>XL</t>
        </is>
      </c>
      <c r="B21" s="81">
        <f>IF(H10="","",H10)</f>
        <v/>
      </c>
      <c r="C21" s="81">
        <f>IF(H14="","",H14)</f>
        <v/>
      </c>
      <c r="D21" s="74">
        <f>IF(OR(B21="",C21=""),"",IF(B21&lt;C21,"20 mm",IF(C21&lt;B21,"25 mm","tie")))</f>
        <v/>
      </c>
      <c r="E21" s="74">
        <f>IF(J10="","",J10)</f>
        <v/>
      </c>
      <c r="F21" s="74">
        <f>IF(J14="","",J14)</f>
        <v/>
      </c>
      <c r="G21" s="90">
        <f>IF(K10="","",K10)</f>
        <v/>
      </c>
      <c r="H21" s="90">
        <f>IF(K14="","",K14)</f>
        <v/>
      </c>
      <c r="I21" s="74">
        <f>IF(OR(G21="",H21=""),"",IF(G21&lt;H21,"20 mm",IF(H21&lt;G21,"25 mm","tie")))</f>
        <v/>
      </c>
    </row>
    <row r="22">
      <c r="A22" s="73" t="inlineStr">
        <is>
          <t>Kingbright</t>
        </is>
      </c>
      <c r="B22" s="81">
        <f>IF(H11="","",H11)</f>
        <v/>
      </c>
      <c r="C22" s="81">
        <f>IF(H15="","",H15)</f>
        <v/>
      </c>
      <c r="D22" s="74">
        <f>IF(OR(B22="",C22=""),"",IF(B22&lt;C22,"20 mm",IF(C22&lt;B22,"25 mm","tie")))</f>
        <v/>
      </c>
      <c r="E22" s="74">
        <f>IF(J11="","",J11)</f>
        <v/>
      </c>
      <c r="F22" s="74">
        <f>IF(J15="","",J15)</f>
        <v/>
      </c>
      <c r="G22" s="90">
        <f>IF(K11="","",K11)</f>
        <v/>
      </c>
      <c r="H22" s="90">
        <f>IF(K15="","",K15)</f>
        <v/>
      </c>
      <c r="I22" s="74">
        <f>IF(OR(G22="",H22=""),"",IF(G22&lt;H22,"20 mm",IF(H22&lt;G22,"25 mm","tie")))</f>
        <v/>
      </c>
    </row>
    <row r="24">
      <c r="A24" s="86" t="inlineStr">
        <is>
          <t>HOW TO READ THIS</t>
        </is>
      </c>
    </row>
    <row r="25">
      <c r="A25" s="94" t="inlineStr">
        <is>
          <t>PEAK is the controlled variable, not exposure and not current. Land every row at peak 200-230 and record the exposure it took. Exposure legitimately changes with angle, range and diffuser - that is why it is a result here, not a constant.</t>
        </is>
      </c>
    </row>
    <row r="26">
      <c r="A26" s="94" t="inlineStr">
        <is>
          <t>Column 'Next exposure' does the targeting for you: peak is linear in exposure while unclipped, and this sensor quantises exposure to ~21.3 us steps (one row time, floor ~21 us). Two iterations lands the band.</t>
        </is>
      </c>
    </row>
    <row r="27">
      <c r="A27" s="94" t="inlineStr">
        <is>
          <t>Current is set by the series resistor on each board and differs by part (Vishay 78.8 mA, Everlight and Kingbright 38.2 mA, XL 21.7 mA). It is a property of the build, not something to equalise at the bench. If a build clips at the exposure floor, add series resistance or test at the real range.</t>
        </is>
      </c>
    </row>
    <row r="28">
      <c r="A28" s="94" t="inlineStr">
        <is>
          <t>Blend gate first: blobs must be 1 and w/h near 1.00. Four LEDs that have not merged read as several blobs, and every measurement mode silently takes the largest - a split marker reports an excellent sigma while tracking a quarter of itself.</t>
        </is>
      </c>
    </row>
    <row r="29">
      <c r="A29" s="94" t="inlineStr">
        <is>
          <t>sig_v/sig_u above ~3 means the noise is not isotropic, which is a systematic, not sensor noise. Every such row so far was also saturated and small - unsaturate it and re-measure before blaming the LED.</t>
        </is>
      </c>
    </row>
    <row r="30">
      <c r="A30" s="94" t="inlineStr">
        <is>
          <t>Roll bias: rolling a well-blended marker about its own axis must not move the centroid. Bias does not average out the way noise does, and the EKF cannot see it - it tracks a wrong position with a confident covariance.</t>
        </is>
      </c>
    </row>
    <row r="31">
      <c r="A31" s="94" t="inlineStr">
        <is>
          <t>RANK is on sigma_RMS mean, over the 8 marker builds only. Then check the gates: Saturating? = 'no', max range covers your operating distance, area kept at 45 deg is enough at your worst viewing angle.</t>
        </is>
      </c>
    </row>
    <row r="32">
      <c r="A32" s="94" t="inlineStr">
        <is>
          <t>Area is not a marker property - it is the count of pixels above THRESH_LO, so it falls with peak. Only compare areas between rows measured at the same peak. Sensor area below ~350 px is where sigma fell apart in the first run.</t>
        </is>
      </c>
    </row>
    <row r="33">
      <c r="A33" s="94" t="inlineStr">
        <is>
          <t>The bare rows are a reference, never a candidate: they attribute a bad marker to the LED rather than the build, and they price the diffuser - exposure bare vs diffused is the light the blend cost you.</t>
        </is>
      </c>
    </row>
    <row r="34">
      <c r="A34" s="94" t="inlineStr">
        <is>
          <t>If both diameters pass every gate and their sigmas are within a few percent, take the 20 mm: smaller marker, less occlusion, closer packing on the rig.</t>
        </is>
      </c>
    </row>
    <row r="35">
      <c r="A35" s="94" t="inlineStr">
        <is>
          <t>The winning sigma_RMS goes into CENTROID_SIGMA in kalmanFilter.py, with that same row's npix as AREA_NOMINAL_SENSOR. Both must come from one row - the diffuser changes both.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2026-08-27T15:11:57Z</dcterms:created>
  <dcterms:modified xsi:type="dcterms:W3CDTF">2026-08-28T13:57:33Z</dcterms:modified>
  <cp:lastModifiedBy>Shannon Pitman</cp:lastModifiedBy>
</cp:coreProperties>
</file>