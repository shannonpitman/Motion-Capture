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3980" yWindow="660" windowWidth="15420" windowHeight="17220" tabRatio="600" firstSheet="0" activeTab="1" autoFilterDateGrouping="1"/>
  </bookViews>
  <sheets>
    <sheet name="Protocol" sheetId="1" state="visible" r:id="rId1"/>
    <sheet name="A_Bench" sheetId="2" state="visible" r:id="rId2"/>
    <sheet name="A_Bench_run1" sheetId="3" state="visible" r:id="rId3"/>
    <sheet name="A_Bench_run2" sheetId="4" state="visible" r:id="rId4"/>
    <sheet name="B_Angle" sheetId="5" state="visible" r:id="rId5"/>
    <sheet name="C_Range" sheetId="6" state="visible" r:id="rId6"/>
    <sheet name="C_Range_run1" sheetId="7" state="visible" r:id="rId7"/>
    <sheet name="E_Strobe" sheetId="8" state="visible" r:id="rId8"/>
    <sheet name="F_Ambient" sheetId="9" state="visible" r:id="rId9"/>
    <sheet name="G_Diffuser" sheetId="10" state="visible" r:id="rId10"/>
    <sheet name="Summary" sheetId="11" state="visible" r:id="rId11"/>
  </sheets>
  <definedNames/>
  <calcPr calcId="191029" fullCalcOnLoad="1"/>
</workbook>
</file>

<file path=xl/styles.xml><?xml version="1.0" encoding="utf-8"?>
<styleSheet xmlns="http://schemas.openxmlformats.org/spreadsheetml/2006/main">
  <numFmts count="5">
    <numFmt numFmtId="164" formatCode="0.0"/>
    <numFmt numFmtId="165" formatCode="0.0000"/>
    <numFmt numFmtId="166" formatCode="0.0%"/>
    <numFmt numFmtId="167" formatCode="0.000"/>
    <numFmt numFmtId="168" formatCode="+0.00;-0.00;0.00"/>
  </numFmts>
  <fonts count="27">
    <font>
      <name val="Calibri"/>
      <family val="2"/>
      <color theme="1"/>
      <sz val="11"/>
      <scheme val="minor"/>
    </font>
    <font>
      <name val="Arial"/>
      <family val="2"/>
      <b val="1"/>
      <sz val="14"/>
    </font>
    <font>
      <name val="Arial"/>
      <family val="2"/>
      <i val="1"/>
      <color rgb="FF595959"/>
      <sz val="9"/>
    </font>
    <font>
      <name val="Arial"/>
      <family val="2"/>
      <b val="1"/>
      <sz val="10"/>
    </font>
    <font>
      <name val="Arial"/>
      <family val="2"/>
      <color rgb="FF0000FF"/>
      <sz val="10"/>
    </font>
    <font>
      <name val="Arial"/>
      <family val="2"/>
      <sz val="10"/>
    </font>
    <font>
      <name val="Arial"/>
      <family val="2"/>
      <i val="1"/>
      <color rgb="FF595959"/>
      <sz val="9"/>
    </font>
    <font>
      <name val="Arial"/>
      <family val="2"/>
      <b val="1"/>
      <sz val="14"/>
    </font>
    <font>
      <name val="Arial"/>
      <family val="2"/>
      <i val="1"/>
      <color rgb="FF595959"/>
      <sz val="9"/>
    </font>
    <font>
      <name val="Arial"/>
      <family val="2"/>
      <b val="1"/>
      <color rgb="FFFFFFFF"/>
      <sz val="11"/>
    </font>
    <font>
      <name val="Arial"/>
      <family val="2"/>
      <color rgb="FF808080"/>
      <sz val="10"/>
    </font>
    <font>
      <name val="Arial"/>
      <family val="2"/>
      <sz val="10"/>
    </font>
    <font>
      <name val="Arial"/>
      <family val="2"/>
      <color rgb="FF0000FF"/>
      <sz val="10"/>
    </font>
    <font>
      <name val="Arial"/>
      <family val="2"/>
      <color rgb="FFC00000"/>
      <sz val="10"/>
    </font>
    <font>
      <name val="Arial"/>
      <family val="2"/>
      <b val="1"/>
      <sz val="10"/>
    </font>
    <font>
      <name val="Arial"/>
      <family val="2"/>
      <i val="1"/>
      <color rgb="FF808080"/>
      <sz val="10"/>
    </font>
    <font>
      <name val="Arial"/>
      <b val="1"/>
      <sz val="14"/>
    </font>
    <font>
      <name val="Arial"/>
      <i val="1"/>
      <color rgb="FF595959"/>
      <sz val="9"/>
    </font>
    <font>
      <name val="Arial"/>
      <color rgb="FF0000FF"/>
      <sz val="10"/>
    </font>
    <font>
      <name val="Arial"/>
      <color rgb="FFC00000"/>
      <sz val="10"/>
    </font>
    <font>
      <name val="Arial"/>
      <b val="1"/>
      <sz val="10"/>
    </font>
    <font>
      <name val="Arial"/>
      <sz val="10"/>
    </font>
    <font>
      <name val="Arial"/>
      <b val="1"/>
      <color rgb="FFFFFFFF"/>
      <sz val="11"/>
    </font>
    <font>
      <name val="Arial"/>
      <color rgb="FF808080"/>
      <sz val="10"/>
    </font>
    <font>
      <name val="Arial"/>
      <b val="1"/>
      <color rgb="FF006100"/>
      <sz val="10"/>
    </font>
    <font>
      <name val="Arial"/>
      <b val="1"/>
      <color rgb="FFC00000"/>
      <sz val="10"/>
    </font>
    <font>
      <name val="Arial"/>
      <i val="1"/>
      <color rgb="FF808080"/>
      <sz val="10"/>
    </font>
  </fonts>
  <fills count="5">
    <fill>
      <patternFill/>
    </fill>
    <fill>
      <patternFill patternType="gray125"/>
    </fill>
    <fill>
      <patternFill patternType="solid">
        <fgColor rgb="FF1F3864"/>
      </patternFill>
    </fill>
    <fill>
      <patternFill patternType="solid">
        <fgColor rgb="FFF2F2F2"/>
      </patternFill>
    </fill>
    <fill>
      <patternFill patternType="solid">
        <fgColor rgb="FFFFFF99"/>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808080"/>
      </top>
      <bottom style="thin">
        <color rgb="FFBFBFBF"/>
      </bottom>
      <diagonal/>
    </border>
    <border/>
    <border>
      <left style="thin">
        <color rgb="FFBFBFBF"/>
      </left>
      <right style="thin">
        <color rgb="FFBFBFBF"/>
      </right>
      <top style="thin">
        <color rgb="FFBFBFBF"/>
      </top>
      <bottom style="thin">
        <color rgb="FFBFBFBF"/>
      </bottom>
    </border>
    <border/>
    <border/>
    <border>
      <left style="thin">
        <color rgb="FFBFBFBF"/>
      </left>
      <right style="thin">
        <color rgb="FFBFBFBF"/>
      </right>
      <top style="medium">
        <color rgb="FF808080"/>
      </top>
      <bottom style="thin">
        <color rgb="FFBFBFBF"/>
      </bottom>
    </border>
    <border/>
  </borders>
  <cellStyleXfs count="1">
    <xf numFmtId="0" fontId="0" fillId="0" borderId="0"/>
  </cellStyleXfs>
  <cellXfs count="14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6" fillId="0" borderId="0" pivotButton="0" quotePrefix="0" xfId="0"/>
    <xf numFmtId="0" fontId="5"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center" wrapText="1"/>
    </xf>
    <xf numFmtId="0" fontId="10" fillId="0" borderId="1" pivotButton="0" quotePrefix="0" xfId="0"/>
    <xf numFmtId="0" fontId="10" fillId="0" borderId="1" applyAlignment="1" pivotButton="0" quotePrefix="0" xfId="0">
      <alignment horizontal="center"/>
    </xf>
    <xf numFmtId="1" fontId="10" fillId="0" borderId="1" applyAlignment="1" pivotButton="0" quotePrefix="0" xfId="0">
      <alignment horizontal="center"/>
    </xf>
    <xf numFmtId="164" fontId="10" fillId="0" borderId="1" applyAlignment="1" pivotButton="0" quotePrefix="0" xfId="0">
      <alignment horizontal="center"/>
    </xf>
    <xf numFmtId="2" fontId="10" fillId="0" borderId="1" applyAlignment="1" pivotButton="0" quotePrefix="0" xfId="0">
      <alignment horizontal="center"/>
    </xf>
    <xf numFmtId="165" fontId="10" fillId="0" borderId="1" applyAlignment="1" pivotButton="0" quotePrefix="0" xfId="0">
      <alignment horizontal="center"/>
    </xf>
    <xf numFmtId="0" fontId="11" fillId="0" borderId="2" pivotButton="0" quotePrefix="0" xfId="0"/>
    <xf numFmtId="0" fontId="11" fillId="0" borderId="2" applyAlignment="1" pivotButton="0" quotePrefix="0" xfId="0">
      <alignment horizontal="center"/>
    </xf>
    <xf numFmtId="1" fontId="11" fillId="0" borderId="2" applyAlignment="1" pivotButton="0" quotePrefix="0" xfId="0">
      <alignment horizontal="center"/>
    </xf>
    <xf numFmtId="164" fontId="11" fillId="0" borderId="2" applyAlignment="1" pivotButton="0" quotePrefix="0" xfId="0">
      <alignment horizontal="center"/>
    </xf>
    <xf numFmtId="1" fontId="12" fillId="4" borderId="2" applyAlignment="1" pivotButton="0" quotePrefix="0" xfId="0">
      <alignment horizontal="center"/>
    </xf>
    <xf numFmtId="164" fontId="12" fillId="4" borderId="2" applyAlignment="1" pivotButton="0" quotePrefix="0" xfId="0">
      <alignment horizontal="center"/>
    </xf>
    <xf numFmtId="2" fontId="12" fillId="4" borderId="2" applyAlignment="1" pivotButton="0" quotePrefix="0" xfId="0">
      <alignment horizontal="center"/>
    </xf>
    <xf numFmtId="165" fontId="12" fillId="4" borderId="2" applyAlignment="1" pivotButton="0" quotePrefix="0" xfId="0">
      <alignment horizontal="center"/>
    </xf>
    <xf numFmtId="165" fontId="11" fillId="0" borderId="2" applyAlignment="1" pivotButton="0" quotePrefix="0" xfId="0">
      <alignment horizontal="center"/>
    </xf>
    <xf numFmtId="0" fontId="12" fillId="0" borderId="2" pivotButton="0" quotePrefix="0" xfId="0"/>
    <xf numFmtId="0" fontId="11" fillId="0" borderId="1" pivotButton="0" quotePrefix="0" xfId="0"/>
    <xf numFmtId="0" fontId="11" fillId="0" borderId="1" applyAlignment="1" pivotButton="0" quotePrefix="0" xfId="0">
      <alignment horizontal="center"/>
    </xf>
    <xf numFmtId="1" fontId="11" fillId="0" borderId="1" applyAlignment="1" pivotButton="0" quotePrefix="0" xfId="0">
      <alignment horizontal="center"/>
    </xf>
    <xf numFmtId="164" fontId="11" fillId="0" borderId="1" applyAlignment="1" pivotButton="0" quotePrefix="0" xfId="0">
      <alignment horizontal="center"/>
    </xf>
    <xf numFmtId="1" fontId="12" fillId="4" borderId="1" applyAlignment="1" pivotButton="0" quotePrefix="0" xfId="0">
      <alignment horizontal="center"/>
    </xf>
    <xf numFmtId="164" fontId="12" fillId="4" borderId="1" applyAlignment="1" pivotButton="0" quotePrefix="0" xfId="0">
      <alignment horizontal="center"/>
    </xf>
    <xf numFmtId="2" fontId="12" fillId="4" borderId="1" applyAlignment="1" pivotButton="0" quotePrefix="0" xfId="0">
      <alignment horizontal="center"/>
    </xf>
    <xf numFmtId="165" fontId="12" fillId="4" borderId="1" applyAlignment="1" pivotButton="0" quotePrefix="0" xfId="0">
      <alignment horizontal="center"/>
    </xf>
    <xf numFmtId="165" fontId="11" fillId="0" borderId="1" applyAlignment="1" pivotButton="0" quotePrefix="0" xfId="0">
      <alignment horizontal="center"/>
    </xf>
    <xf numFmtId="0" fontId="12" fillId="0" borderId="1" pivotButton="0" quotePrefix="0" xfId="0"/>
    <xf numFmtId="0" fontId="13" fillId="0" borderId="1" pivotButton="0" quotePrefix="0" xfId="0"/>
    <xf numFmtId="166" fontId="11" fillId="0" borderId="2" applyAlignment="1" pivotButton="0" quotePrefix="0" xfId="0">
      <alignment horizontal="center"/>
    </xf>
    <xf numFmtId="166" fontId="11" fillId="0" borderId="1" applyAlignment="1" pivotButton="0" quotePrefix="0" xfId="0">
      <alignment horizontal="center"/>
    </xf>
    <xf numFmtId="0" fontId="9" fillId="2" borderId="0" pivotButton="0" quotePrefix="0" xfId="0"/>
    <xf numFmtId="167" fontId="12" fillId="4" borderId="2" applyAlignment="1" pivotButton="0" quotePrefix="0" xfId="0">
      <alignment horizontal="center"/>
    </xf>
    <xf numFmtId="167" fontId="11" fillId="0" borderId="2" applyAlignment="1" pivotButton="0" quotePrefix="0" xfId="0">
      <alignment horizontal="center"/>
    </xf>
    <xf numFmtId="167" fontId="12" fillId="4" borderId="1" applyAlignment="1" pivotButton="0" quotePrefix="0" xfId="0">
      <alignment horizontal="center"/>
    </xf>
    <xf numFmtId="167" fontId="11" fillId="0" borderId="1" applyAlignment="1" pivotButton="0" quotePrefix="0" xfId="0">
      <alignment horizontal="center"/>
    </xf>
    <xf numFmtId="0" fontId="12" fillId="4" borderId="2" applyAlignment="1" pivotButton="0" quotePrefix="0" xfId="0">
      <alignment horizontal="center"/>
    </xf>
    <xf numFmtId="0" fontId="12" fillId="4" borderId="1" applyAlignment="1" pivotButton="0" quotePrefix="0" xfId="0">
      <alignment horizontal="center"/>
    </xf>
    <xf numFmtId="0" fontId="10" fillId="0" borderId="2" applyAlignment="1" pivotButton="0" quotePrefix="0" xfId="0">
      <alignment horizontal="center"/>
    </xf>
    <xf numFmtId="0" fontId="11" fillId="0" borderId="0" pivotButton="0" quotePrefix="0" xfId="0"/>
    <xf numFmtId="0" fontId="14" fillId="3" borderId="1" pivotButton="0" quotePrefix="0" xfId="0"/>
    <xf numFmtId="15" fontId="12" fillId="4" borderId="1" pivotButton="0" quotePrefix="0" xfId="0"/>
    <xf numFmtId="0" fontId="12" fillId="4" borderId="1" pivotButton="0" quotePrefix="0" xfId="0"/>
    <xf numFmtId="0" fontId="14" fillId="0" borderId="0" pivotButton="0" quotePrefix="0" xfId="0"/>
    <xf numFmtId="0" fontId="15" fillId="0" borderId="1" pivotButton="0" quotePrefix="0" xfId="0"/>
    <xf numFmtId="0" fontId="4" fillId="4" borderId="1" pivotButton="0" quotePrefix="0" xfId="0"/>
    <xf numFmtId="164" fontId="11" fillId="0" borderId="1" applyAlignment="1" pivotButton="0" quotePrefix="0" xfId="0">
      <alignment horizontal="center"/>
    </xf>
    <xf numFmtId="164" fontId="10" fillId="0" borderId="1" applyAlignment="1" pivotButton="0" quotePrefix="0" xfId="0">
      <alignment horizontal="center"/>
    </xf>
    <xf numFmtId="165" fontId="10" fillId="0" borderId="1" applyAlignment="1" pivotButton="0" quotePrefix="0" xfId="0">
      <alignment horizontal="center"/>
    </xf>
    <xf numFmtId="164" fontId="18" fillId="4" borderId="2" applyAlignment="1" pivotButton="0" quotePrefix="0" xfId="0">
      <alignment horizontal="center"/>
    </xf>
    <xf numFmtId="164" fontId="11" fillId="0" borderId="2" applyAlignment="1" pivotButton="0" quotePrefix="0" xfId="0">
      <alignment horizontal="center"/>
    </xf>
    <xf numFmtId="164" fontId="12" fillId="4" borderId="2" applyAlignment="1" pivotButton="0" quotePrefix="0" xfId="0">
      <alignment horizontal="center"/>
    </xf>
    <xf numFmtId="165" fontId="12" fillId="4" borderId="2" applyAlignment="1" pivotButton="0" quotePrefix="0" xfId="0">
      <alignment horizontal="center"/>
    </xf>
    <xf numFmtId="165" fontId="11" fillId="0" borderId="2" applyAlignment="1" pivotButton="0" quotePrefix="0" xfId="0">
      <alignment horizontal="center"/>
    </xf>
    <xf numFmtId="164" fontId="18" fillId="4" borderId="1" applyAlignment="1" pivotButton="0" quotePrefix="0" xfId="0">
      <alignment horizontal="center"/>
    </xf>
    <xf numFmtId="164" fontId="12" fillId="4" borderId="1" applyAlignment="1" pivotButton="0" quotePrefix="0" xfId="0">
      <alignment horizontal="center"/>
    </xf>
    <xf numFmtId="165" fontId="12" fillId="4" borderId="1" applyAlignment="1" pivotButton="0" quotePrefix="0" xfId="0">
      <alignment horizontal="center"/>
    </xf>
    <xf numFmtId="165" fontId="11" fillId="0" borderId="1" applyAlignment="1" pivotButton="0" quotePrefix="0" xfId="0">
      <alignment horizontal="center"/>
    </xf>
    <xf numFmtId="0" fontId="16" fillId="0" borderId="0" pivotButton="0" quotePrefix="0" xfId="0"/>
    <xf numFmtId="0" fontId="17" fillId="0" borderId="0" pivotButton="0" quotePrefix="0" xfId="0"/>
    <xf numFmtId="166" fontId="11" fillId="0" borderId="2" applyAlignment="1" pivotButton="0" quotePrefix="0" xfId="0">
      <alignment horizontal="center"/>
    </xf>
    <xf numFmtId="166" fontId="11" fillId="0" borderId="1" applyAlignment="1" pivotButton="0" quotePrefix="0" xfId="0">
      <alignment horizontal="center"/>
    </xf>
    <xf numFmtId="0" fontId="19" fillId="0" borderId="2" pivotButton="0" quotePrefix="0" xfId="0"/>
    <xf numFmtId="0" fontId="19" fillId="0" borderId="1" pivotButton="0" quotePrefix="0" xfId="0"/>
    <xf numFmtId="0" fontId="20" fillId="0" borderId="3" pivotButton="0" quotePrefix="0" xfId="0"/>
    <xf numFmtId="164" fontId="18" fillId="4" borderId="4" applyAlignment="1" pivotButton="0" quotePrefix="0" xfId="0">
      <alignment horizontal="center"/>
    </xf>
    <xf numFmtId="0" fontId="17" fillId="0" borderId="3" pivotButton="0" quotePrefix="0" xfId="0"/>
    <xf numFmtId="1" fontId="18" fillId="4" borderId="4" applyAlignment="1" pivotButton="0" quotePrefix="0" xfId="0">
      <alignment horizontal="center"/>
    </xf>
    <xf numFmtId="2" fontId="21" fillId="0" borderId="4" applyAlignment="1" pivotButton="0" quotePrefix="0" xfId="0">
      <alignment horizontal="center"/>
    </xf>
    <xf numFmtId="0" fontId="22" fillId="2" borderId="0" pivotButton="0" quotePrefix="0" xfId="0"/>
    <xf numFmtId="0" fontId="22" fillId="2" borderId="4" applyAlignment="1" pivotButton="0" quotePrefix="0" xfId="0">
      <alignment horizontal="center" vertical="center" wrapText="1"/>
    </xf>
    <xf numFmtId="0" fontId="18" fillId="4" borderId="4" applyAlignment="1" pivotButton="0" quotePrefix="0" xfId="0">
      <alignment horizontal="center"/>
    </xf>
    <xf numFmtId="2" fontId="18" fillId="4" borderId="4" applyAlignment="1" pivotButton="0" quotePrefix="0" xfId="0">
      <alignment horizontal="center"/>
    </xf>
    <xf numFmtId="0" fontId="21" fillId="0" borderId="4" applyAlignment="1" pivotButton="0" quotePrefix="0" xfId="0">
      <alignment horizontal="center"/>
    </xf>
    <xf numFmtId="0" fontId="18" fillId="0" borderId="4" pivotButton="0" quotePrefix="0" xfId="0"/>
    <xf numFmtId="0" fontId="21" fillId="0" borderId="4" pivotButton="0" quotePrefix="0" xfId="0"/>
    <xf numFmtId="165" fontId="18" fillId="4" borderId="4" applyAlignment="1" pivotButton="0" quotePrefix="0" xfId="0">
      <alignment horizontal="center"/>
    </xf>
    <xf numFmtId="165" fontId="21" fillId="0" borderId="4" applyAlignment="1" pivotButton="0" quotePrefix="0" xfId="0">
      <alignment horizontal="center"/>
    </xf>
    <xf numFmtId="1" fontId="21" fillId="0" borderId="4" applyAlignment="1" pivotButton="0" quotePrefix="0" xfId="0">
      <alignment horizontal="center"/>
    </xf>
    <xf numFmtId="164" fontId="21" fillId="0" borderId="4" applyAlignment="1" pivotButton="0" quotePrefix="0" xfId="0">
      <alignment horizontal="center"/>
    </xf>
    <xf numFmtId="0" fontId="20" fillId="0" borderId="3" applyAlignment="1" pivotButton="0" quotePrefix="0" xfId="0">
      <alignment horizontal="center"/>
    </xf>
    <xf numFmtId="164" fontId="20" fillId="0" borderId="3" applyAlignment="1" pivotButton="0" quotePrefix="0" xfId="0">
      <alignment horizontal="center"/>
    </xf>
    <xf numFmtId="167" fontId="20" fillId="0" borderId="3" applyAlignment="1" pivotButton="0" quotePrefix="0" xfId="0">
      <alignment horizontal="center"/>
    </xf>
    <xf numFmtId="1" fontId="20" fillId="0" borderId="4" applyAlignment="1" pivotButton="0" quotePrefix="0" xfId="0">
      <alignment horizontal="center"/>
    </xf>
    <xf numFmtId="0" fontId="21" fillId="0" borderId="0" pivotButton="0" quotePrefix="0" xfId="0"/>
    <xf numFmtId="0" fontId="20" fillId="0" borderId="0" pivotButton="0" quotePrefix="0" xfId="0"/>
    <xf numFmtId="0" fontId="17" fillId="0" borderId="5" pivotButton="0" quotePrefix="0" xfId="0"/>
    <xf numFmtId="0" fontId="20" fillId="0" borderId="5" pivotButton="0" quotePrefix="0" xfId="0"/>
    <xf numFmtId="2" fontId="20" fillId="0" borderId="5" applyAlignment="1" pivotButton="0" quotePrefix="0" xfId="0">
      <alignment horizontal="center"/>
    </xf>
    <xf numFmtId="0" fontId="20" fillId="0" borderId="6" pivotButton="0" quotePrefix="0" xfId="0"/>
    <xf numFmtId="0" fontId="17" fillId="0" borderId="6" pivotButton="0" quotePrefix="0" xfId="0"/>
    <xf numFmtId="0" fontId="23" fillId="0" borderId="7" applyAlignment="1" pivotButton="0" quotePrefix="0" xfId="0">
      <alignment horizontal="center"/>
    </xf>
    <xf numFmtId="0" fontId="21" fillId="0" borderId="7" pivotButton="0" quotePrefix="0" xfId="0"/>
    <xf numFmtId="1" fontId="21" fillId="0" borderId="7" applyAlignment="1" pivotButton="0" quotePrefix="0" xfId="0">
      <alignment horizontal="center"/>
    </xf>
    <xf numFmtId="164" fontId="21" fillId="0" borderId="7" applyAlignment="1" pivotButton="0" quotePrefix="0" xfId="0">
      <alignment horizontal="center"/>
    </xf>
    <xf numFmtId="1" fontId="23" fillId="3" borderId="7" applyAlignment="1" pivotButton="0" quotePrefix="0" xfId="0">
      <alignment horizontal="center"/>
    </xf>
    <xf numFmtId="164" fontId="23" fillId="3" borderId="7" applyAlignment="1" pivotButton="0" quotePrefix="0" xfId="0">
      <alignment horizontal="center"/>
    </xf>
    <xf numFmtId="2" fontId="23" fillId="3" borderId="7" applyAlignment="1" pivotButton="0" quotePrefix="0" xfId="0">
      <alignment horizontal="center"/>
    </xf>
    <xf numFmtId="0" fontId="21" fillId="0" borderId="7" applyAlignment="1" pivotButton="0" quotePrefix="0" xfId="0">
      <alignment horizontal="center"/>
    </xf>
    <xf numFmtId="165" fontId="23" fillId="3" borderId="7" applyAlignment="1" pivotButton="0" quotePrefix="0" xfId="0">
      <alignment horizontal="center"/>
    </xf>
    <xf numFmtId="165" fontId="21" fillId="0" borderId="7" applyAlignment="1" pivotButton="0" quotePrefix="0" xfId="0">
      <alignment horizontal="center"/>
    </xf>
    <xf numFmtId="2" fontId="21" fillId="0" borderId="7" applyAlignment="1" pivotButton="0" quotePrefix="0" xfId="0">
      <alignment horizontal="center"/>
    </xf>
    <xf numFmtId="168" fontId="21" fillId="0" borderId="7" applyAlignment="1" pivotButton="0" quotePrefix="0" xfId="0">
      <alignment horizontal="center"/>
    </xf>
    <xf numFmtId="0" fontId="18" fillId="0" borderId="7" pivotButton="0" quotePrefix="0" xfId="0"/>
    <xf numFmtId="168" fontId="21" fillId="0" borderId="4" applyAlignment="1" pivotButton="0" quotePrefix="0" xfId="0">
      <alignment horizontal="center"/>
    </xf>
    <xf numFmtId="0" fontId="23" fillId="0" borderId="4" applyAlignment="1" pivotButton="0" quotePrefix="0" xfId="0">
      <alignment horizontal="center"/>
    </xf>
    <xf numFmtId="1" fontId="23" fillId="3" borderId="4" applyAlignment="1" pivotButton="0" quotePrefix="0" xfId="0">
      <alignment horizontal="center"/>
    </xf>
    <xf numFmtId="164" fontId="23" fillId="3" borderId="4" applyAlignment="1" pivotButton="0" quotePrefix="0" xfId="0">
      <alignment horizontal="center"/>
    </xf>
    <xf numFmtId="2" fontId="23" fillId="3" borderId="4" applyAlignment="1" pivotButton="0" quotePrefix="0" xfId="0">
      <alignment horizontal="center"/>
    </xf>
    <xf numFmtId="165" fontId="23" fillId="3" borderId="4" applyAlignment="1" pivotButton="0" quotePrefix="0" xfId="0">
      <alignment horizontal="center"/>
    </xf>
    <xf numFmtId="0" fontId="18" fillId="0" borderId="2" pivotButton="0" quotePrefix="0" xfId="0"/>
    <xf numFmtId="0" fontId="18" fillId="0" borderId="1" pivotButton="0" quotePrefix="0" xfId="0"/>
    <xf numFmtId="0" fontId="24" fillId="0" borderId="0" pivotButton="0" quotePrefix="0" xfId="0"/>
    <xf numFmtId="0" fontId="20" fillId="0" borderId="8" pivotButton="0" quotePrefix="0" xfId="0"/>
    <xf numFmtId="0" fontId="17" fillId="0" borderId="8" pivotButton="0" quotePrefix="0" xfId="0"/>
    <xf numFmtId="0" fontId="25" fillId="0" borderId="0" pivotButton="0" quotePrefix="0" xfId="0"/>
    <xf numFmtId="0" fontId="26" fillId="0" borderId="4" pivotButton="0" quotePrefix="0" xfId="0"/>
    <xf numFmtId="167" fontId="10" fillId="0" borderId="1" applyAlignment="1" pivotButton="0" quotePrefix="0" xfId="0">
      <alignment horizontal="center"/>
    </xf>
    <xf numFmtId="167" fontId="23" fillId="3" borderId="7" applyAlignment="1" pivotButton="0" quotePrefix="0" xfId="0">
      <alignment horizontal="center"/>
    </xf>
    <xf numFmtId="167" fontId="18" fillId="4" borderId="4" applyAlignment="1" pivotButton="0" quotePrefix="0" xfId="0">
      <alignment horizontal="center"/>
    </xf>
    <xf numFmtId="167" fontId="23" fillId="3" borderId="4" applyAlignment="1" pivotButton="0" quotePrefix="0" xfId="0">
      <alignment horizontal="center"/>
    </xf>
    <xf numFmtId="0" fontId="21" fillId="0" borderId="7" pivotButton="0" quotePrefix="0" xfId="0"/>
    <xf numFmtId="1" fontId="18" fillId="4" borderId="7" applyAlignment="1" pivotButton="0" quotePrefix="0" xfId="0">
      <alignment horizontal="center"/>
    </xf>
    <xf numFmtId="2" fontId="18" fillId="4" borderId="7" applyAlignment="1" pivotButton="0" quotePrefix="0" xfId="0">
      <alignment horizontal="center"/>
    </xf>
    <xf numFmtId="167" fontId="18" fillId="4" borderId="7" applyAlignment="1" pivotButton="0" quotePrefix="0" xfId="0">
      <alignment horizontal="center"/>
    </xf>
    <xf numFmtId="165" fontId="18" fillId="4" borderId="7" applyAlignment="1" pivotButton="0" quotePrefix="0" xfId="0">
      <alignment horizontal="center"/>
    </xf>
    <xf numFmtId="0" fontId="21" fillId="0" borderId="4" pivotButton="0" quotePrefix="0" xfId="0"/>
    <xf numFmtId="164" fontId="18" fillId="4" borderId="7" applyAlignment="1" pivotButton="0" quotePrefix="0" xfId="0">
      <alignment horizontal="center"/>
    </xf>
    <xf numFmtId="0" fontId="18" fillId="4" borderId="7" applyAlignment="1" pivotButton="0" quotePrefix="0" xfId="0">
      <alignment horizontal="center"/>
    </xf>
    <xf numFmtId="164" fontId="21" fillId="4" borderId="7" applyAlignment="1" pivotButton="0" quotePrefix="0" xfId="0">
      <alignment horizontal="center"/>
    </xf>
    <xf numFmtId="164" fontId="21" fillId="4" borderId="4" applyAlignment="1" pivotButton="0" quotePrefix="0" xfId="0">
      <alignment horizontal="center"/>
    </xf>
    <xf numFmtId="0" fontId="21" fillId="2" borderId="4" pivotButton="0" quotePrefix="0" xfId="0"/>
    <xf numFmtId="0" fontId="19" fillId="0" borderId="4"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M116"/>
  <sheetViews>
    <sheetView showGridLines="0" topLeftCell="A2" workbookViewId="0">
      <selection activeCell="C15" sqref="C15"/>
    </sheetView>
  </sheetViews>
  <sheetFormatPr baseColWidth="10" defaultColWidth="8.83203125" defaultRowHeight="15"/>
  <cols>
    <col width="34" customWidth="1" min="1" max="1"/>
    <col width="36" bestFit="1" customWidth="1" min="2" max="2"/>
    <col width="58" customWidth="1" min="3" max="3"/>
    <col width="11" customWidth="1" min="4" max="8"/>
  </cols>
  <sheetData>
    <row r="1" ht="18" customHeight="1">
      <c r="A1" s="1" t="inlineStr">
        <is>
          <t>LED Characterisation - Test Protocol</t>
        </is>
      </c>
    </row>
    <row r="2">
      <c r="A2" s="4" t="inlineStr">
        <is>
          <t>Four LED types x three builds: bare LED (reference), 20 mm diffuser, 25 mm diffuser. Each diffused marker holds FOUR LEDs of the same type. Find the build with the lowest centroid noise.</t>
        </is>
      </c>
    </row>
    <row r="4">
      <c r="A4" s="3" t="inlineStr">
        <is>
          <t>LEGEND</t>
        </is>
      </c>
    </row>
    <row r="5">
      <c r="A5" s="5" t="inlineStr">
        <is>
          <t>Yellow fill = fill in while testing.   Black = calculated.   Bare rows are a reference only - they are not a marker and are not ranked.</t>
        </is>
      </c>
    </row>
    <row r="7">
      <c r="A7" s="38" t="inlineStr">
        <is>
          <t>HOLD THESE CONSTANT FOR EVERY MEASUREMENT</t>
        </is>
      </c>
    </row>
    <row r="8">
      <c r="A8" s="47" t="inlineStr">
        <is>
          <t>Parameter</t>
        </is>
      </c>
      <c r="B8" s="47" t="inlineStr">
        <is>
          <t>Value</t>
        </is>
      </c>
      <c r="C8" s="47" t="inlineStr">
        <is>
          <t>Note</t>
        </is>
      </c>
    </row>
    <row r="9">
      <c r="A9" s="25" t="inlineStr">
        <is>
          <t>Date</t>
        </is>
      </c>
      <c r="B9" s="48" t="n">
        <v>46262</v>
      </c>
      <c r="C9" s="7" t="n"/>
    </row>
    <row r="10">
      <c r="A10" s="25" t="inlineStr">
        <is>
          <t>Supply voltage (V)</t>
        </is>
      </c>
      <c r="B10" s="49" t="n">
        <v>9</v>
      </c>
      <c r="C10" s="7" t="inlineStr">
        <is>
          <t>one 9 V rail for every board: 4 LEDs in series + the series resistor</t>
        </is>
      </c>
    </row>
    <row r="11">
      <c r="A11" s="25" t="inlineStr">
        <is>
          <t>Drive current (mA)</t>
        </is>
      </c>
      <c r="B11" s="25" t="inlineStr">
        <is>
          <t>set by the board resistor</t>
        </is>
      </c>
      <c r="C11" s="7" t="inlineStr">
        <is>
          <t>differs per part BY DESIGN - see the parts table below. Not a bench knob</t>
        </is>
      </c>
    </row>
    <row r="12">
      <c r="A12" s="25" t="inlineStr">
        <is>
          <t>EXPOSURE_US</t>
        </is>
      </c>
      <c r="B12" s="25" t="inlineStr">
        <is>
          <t>varies per row</t>
        </is>
      </c>
      <c r="C12" s="7" t="inlineStr">
        <is>
          <t>a RESULT, not a constant. Quantised to ~21.3 us (one sensor row time), floor ~21 us</t>
        </is>
      </c>
    </row>
    <row r="13">
      <c r="A13" s="25" t="inlineStr">
        <is>
          <t>Target peak</t>
        </is>
      </c>
      <c r="B13" s="25" t="inlineStr">
        <is>
          <t>200 - 230</t>
        </is>
      </c>
      <c r="C13" s="7" t="inlineStr">
        <is>
          <t>THE controlled variable. Background measured at max 4 counts, so the whole 0-255 range is signal</t>
        </is>
      </c>
    </row>
    <row r="14">
      <c r="A14" s="25" t="inlineStr">
        <is>
          <t>GAIN_DB</t>
        </is>
      </c>
      <c r="B14" s="49" t="n">
        <v>0</v>
      </c>
      <c r="C14" s="7" t="inlineStr">
        <is>
          <t>keep at 0</t>
        </is>
      </c>
    </row>
    <row r="15">
      <c r="A15" s="25" t="inlineStr">
        <is>
          <t>THRESH_LO</t>
        </is>
      </c>
      <c r="B15" s="49" t="n">
        <v>80</v>
      </c>
      <c r="C15" s="7" t="inlineStr">
        <is>
          <t>same for all tests</t>
        </is>
      </c>
    </row>
    <row r="16">
      <c r="A16" s="25" t="inlineStr">
        <is>
          <t>REFINE_FLOOR</t>
        </is>
      </c>
      <c r="B16" s="49" t="n">
        <v>50</v>
      </c>
      <c r="C16" s="7" t="inlineStr">
        <is>
          <t>same for all tests</t>
        </is>
      </c>
    </row>
    <row r="17">
      <c r="A17" s="25" t="inlineStr">
        <is>
          <t>Framesize / readout</t>
        </is>
      </c>
      <c r="B17" s="49" t="inlineStr">
        <is>
          <t>QVGA, 320×240, readout 320×240 -&gt; Ratio 1:1</t>
        </is>
      </c>
      <c r="C17" s="7" t="inlineStr">
        <is>
          <t>ratio must be 1:1</t>
        </is>
      </c>
    </row>
    <row r="18">
      <c r="A18" s="25" t="inlineStr">
        <is>
          <t>Test A distance (m)</t>
        </is>
      </c>
      <c r="B18" s="49" t="n">
        <v>4</v>
      </c>
      <c r="C18" s="7" t="inlineStr">
        <is>
          <t>far end of the flight space - where the builds differ most. Test B uses the same distance</t>
        </is>
      </c>
    </row>
    <row r="19">
      <c r="A19" s="25" t="inlineStr">
        <is>
          <t>Near limit, 0 deg (m)</t>
        </is>
      </c>
      <c r="B19" s="49" t="n">
        <v>2</v>
      </c>
      <c r="C19" s="7" t="inlineStr">
        <is>
          <t>closest a marker ever gets to a camera, square-on. Sets the exposure CEILING</t>
        </is>
      </c>
    </row>
    <row r="20">
      <c r="A20" s="25" t="inlineStr">
        <is>
          <t>Ambient light</t>
        </is>
      </c>
      <c r="B20" s="52" t="inlineStr">
        <is>
          <t>Night test, lights in room on.</t>
        </is>
      </c>
      <c r="C20" s="7" t="inlineStr">
        <is>
          <t>e.g. blinds closed, lights off</t>
        </is>
      </c>
    </row>
    <row r="21">
      <c r="A21" s="25" t="inlineStr">
        <is>
          <t>Camera / lens</t>
        </is>
      </c>
      <c r="B21" s="49" t="inlineStr">
        <is>
          <t>VL filter installend OpenMV RT1062</t>
        </is>
      </c>
      <c r="C21" s="7" t="inlineStr">
        <is>
          <t>must not change between tests</t>
        </is>
      </c>
    </row>
    <row r="22">
      <c r="A22" s="25" t="inlineStr">
        <is>
          <t>Build</t>
        </is>
      </c>
      <c r="B22" s="25" t="inlineStr">
        <is>
          <t>bare (ref) / 20 mm / 25 mm</t>
        </is>
      </c>
      <c r="C22" s="7" t="inlineStr">
        <is>
          <t>no diffuser fitted - all four LEDs lit, cap off</t>
        </is>
      </c>
    </row>
    <row r="24">
      <c r="A24" s="38" t="inlineStr">
        <is>
          <t>BOARDS AND DRIVE CURRENT   (from IR_LED_Parts_Calculator, 9 V, 4 in series, Vf 1.6 V each)</t>
        </is>
      </c>
    </row>
    <row r="25">
      <c r="A25" s="47" t="inlineStr">
        <is>
          <t>Build</t>
        </is>
      </c>
      <c r="B25" s="47" t="inlineStr">
        <is>
          <t>Part</t>
        </is>
      </c>
      <c r="C25" s="47" t="inlineStr">
        <is>
          <t>R series (E12)</t>
        </is>
      </c>
      <c r="D25" s="47" t="inlineStr">
        <is>
          <t>I actual (mA)</t>
        </is>
      </c>
    </row>
    <row r="26">
      <c r="A26" s="25" t="inlineStr">
        <is>
          <t>Vishay</t>
        </is>
      </c>
      <c r="B26" s="25" t="inlineStr">
        <is>
          <t>VSMY2850GX01</t>
        </is>
      </c>
      <c r="C26" s="27" t="n">
        <v>33</v>
      </c>
      <c r="D26" s="53" t="n">
        <v>78.8</v>
      </c>
    </row>
    <row r="27">
      <c r="A27" s="25" t="inlineStr">
        <is>
          <t>Everlight</t>
        </is>
      </c>
      <c r="B27" s="25" t="inlineStr">
        <is>
          <t>HIR25-21C</t>
        </is>
      </c>
      <c r="C27" s="27" t="n">
        <v>68</v>
      </c>
      <c r="D27" s="53" t="n">
        <v>38.2</v>
      </c>
    </row>
    <row r="28">
      <c r="A28" s="25" t="inlineStr">
        <is>
          <t>XL</t>
        </is>
      </c>
      <c r="B28" s="25" t="inlineStr">
        <is>
          <t>XL-1608HIRC-850</t>
        </is>
      </c>
      <c r="C28" s="27" t="n">
        <v>120</v>
      </c>
      <c r="D28" s="53" t="n">
        <v>21.7</v>
      </c>
    </row>
    <row r="29">
      <c r="A29" s="25" t="inlineStr">
        <is>
          <t>Kingbright</t>
        </is>
      </c>
      <c r="B29" s="25" t="inlineStr">
        <is>
          <t>Kingbright (different part, same 68 ohm / 38.2 mA operating point)</t>
        </is>
      </c>
      <c r="C29" s="27" t="n">
        <v>68</v>
      </c>
      <c r="D29" s="53" t="n">
        <v>38.2</v>
      </c>
    </row>
    <row r="30">
      <c r="A30" s="7" t="inlineStr">
        <is>
          <t>Vishay draws 2.1x Everlight and 3.6x XL. That is the design, not an error - but it is why Vishay clips first, so its brightness must be read as 'needs less exposure', not as 'saturates'.</t>
        </is>
      </c>
    </row>
    <row r="32">
      <c r="A32" s="38" t="inlineStr">
        <is>
          <t>THE REGIME</t>
        </is>
      </c>
    </row>
    <row r="34">
      <c r="A34" s="50" t="inlineStr">
        <is>
          <t>TEST A - Bench comparison   (4 types x 3 builds = 12 rows)</t>
        </is>
      </c>
    </row>
    <row r="35">
      <c r="A35" s="46" t="inlineStr">
        <is>
          <t>1. Work one build at a time - the diffuser is the slow thing to change. All four types with the 20 mm, then all four with the 25 mm, then the bare reference LEDs.</t>
        </is>
      </c>
    </row>
    <row r="36">
      <c r="A36" s="46" t="inlineStr">
        <is>
          <t>2. Fix the marker at the Test A distance, facing the camera (0 deg).</t>
        </is>
      </c>
    </row>
    <row r="37">
      <c r="A37" s="46" t="inlineStr">
        <is>
          <t>3. MODE="expose" -&gt; record Exposure, Peak, Sat px, Frames sat, blobs and w/h.</t>
        </is>
      </c>
    </row>
    <row r="38">
      <c r="A38" s="46" t="inlineStr">
        <is>
          <t>4. TARGET THE PEAK: if Peak is outside 200-230, take the 'Next exposure' the sheet computes, set it, and read again. Peak is linear in exposure while unclipped, so this converges in one or two goes.</t>
        </is>
      </c>
    </row>
    <row r="39">
      <c r="A39" s="46" t="inlineStr">
        <is>
          <t>5. If the row still clips at the exposure floor (~21 us), exposure has run out. Either move to the real operating range or add series resistance in-line - you can only ADD R, which lowers current, which is the direction a too-bright board needs.</t>
        </is>
      </c>
    </row>
    <row r="40">
      <c r="A40" s="46" t="inlineStr">
        <is>
          <t>6. BLEND GATE: blobs must read 1 and w/h must sit near 1.00. More than one blob means the four LEDs have not merged - every mode measures only the largest blob, so sigma would look fine while the marker is really four markers.</t>
        </is>
      </c>
    </row>
    <row r="41">
      <c r="A41" s="46" t="inlineStr">
        <is>
          <t>7. MODE="floor" -&gt; record sigma_u, sigma_v, npix. Do NOT change REFINE_FLOOR between LEDs or between builds.</t>
        </is>
      </c>
    </row>
    <row r="42">
      <c r="A42" s="46" t="inlineStr">
        <is>
          <t>8. Only a row that is IN BAND, UNSATURATED and BLENDED carries a usable sigma. Everything else is a diagnostic, not a result.</t>
        </is>
      </c>
    </row>
    <row r="44">
      <c r="A44" s="50" t="inlineStr">
        <is>
          <t>TEST B - Angular response and roll   (each type x each build, at the Test A distance)</t>
        </is>
      </c>
    </row>
    <row r="45">
      <c r="A45" s="46" t="inlineStr">
        <is>
          <t>9.  Sample 1 of each type/build. Rotate the marker off-axis to 0, 15, 30, 45, 60 deg. At each: MODE="expose" -&gt; Exposure, Peak, Sensor area, blobs. Re-target the peak at every angle.</t>
        </is>
      </c>
    </row>
    <row r="46">
      <c r="A46" s="46" t="inlineStr">
        <is>
          <t>10. ROLL (markers only): rotate the same marker about its OWN axis to 0, 22.5, 45, 67.5, 90 deg - 0 deg looking straight at one LED, 45 deg looking between two. At each: MODE="measure" -&gt; mean u, mean v, blobs_max.</t>
        </is>
      </c>
    </row>
    <row r="47">
      <c r="A47" s="46" t="inlineStr">
        <is>
          <t>11. Rotate in place. Any translation of the marker reads as false bias, so clamp the axis and turn it, do not lift and replace it.</t>
        </is>
      </c>
    </row>
    <row r="48">
      <c r="A48" s="46" t="inlineStr">
        <is>
          <t>12. The roll block is the 20 vs 25 mm decider: a marker that blends properly does not move its centroid as it rolls.</t>
        </is>
      </c>
    </row>
    <row r="50">
      <c r="A50" s="50" t="inlineStr">
        <is>
          <t>TEST C - Range   (each type x each build, 1 to 5 m)</t>
        </is>
      </c>
    </row>
    <row r="51">
      <c r="A51" s="46" t="inlineStr">
        <is>
          <t>13. Same sample. Move to each distance listed on C_Range, re-targeting the peak at each one, and record the exposure it took.</t>
        </is>
      </c>
    </row>
    <row r="52">
      <c r="A52" s="46" t="inlineStr">
        <is>
          <t>14. Record Peak, Sat px, Sensor area, blobs, sigma, and whether the tracker detected it at all.</t>
        </is>
      </c>
    </row>
    <row r="53">
      <c r="A53" s="46" t="inlineStr">
        <is>
          <t>15. The near rows set the exposure CEILING (do not clip at the near limit, 0 deg) and the far rows set the FLOOR (enough area to hold sigma). If no single exposure satisfies both, the marker needs a bigger diffuser, more LEDs, or auto-exposure - find that out here, not in flight.</t>
        </is>
      </c>
    </row>
    <row r="55">
      <c r="A55" s="38" t="inlineStr">
        <is>
          <t>WHAT DECIDES THE WINNER</t>
        </is>
      </c>
    </row>
    <row r="57">
      <c r="A57" s="46" t="inlineStr">
        <is>
          <t>Primary:   lowest sigma_RMS among the 8 marker builds, each measured at peak 200-230. That IS your measurement noise - it sets CENTROID_SIGMA.</t>
        </is>
      </c>
    </row>
    <row r="58">
      <c r="A58" s="46" t="inlineStr">
        <is>
          <t>Gate 1:    blobs = 1 and w/h near 1.00 on every reading. A split or lumpy blob invalidates everything measured from it.</t>
        </is>
      </c>
    </row>
    <row r="59">
      <c r="A59" s="46" t="inlineStr">
        <is>
          <t>Gate 2:    Sat px = 0. A saturated marker has a flat top and no subpixel information - and it reports a deceptively LOW sigma, which is how a clipped LED wins a ranking it should lose.</t>
        </is>
      </c>
    </row>
    <row r="60">
      <c r="A60" s="46" t="inlineStr">
        <is>
          <t>Gate 3:    sig_v/sig_u below ~3. Anisotropic noise is a systematic - a build or rig fault - not sensor noise.</t>
        </is>
      </c>
    </row>
    <row r="61">
      <c r="A61" s="46" t="inlineStr">
        <is>
          <t>Gate 4:    roll bias small next to sigma_RMS. Noise averages out over frames; bias does not, and the EKF cannot see it.</t>
        </is>
      </c>
    </row>
    <row r="62">
      <c r="A62" s="46" t="inlineStr">
        <is>
          <t>Gate 5:    detected at the far limit with enough area, and not clipped at the near limit at 0 deg.</t>
        </is>
      </c>
    </row>
    <row r="63">
      <c r="A63" s="46" t="inlineStr">
        <is>
          <t>Tiebreak:  exposure needed for peak 210. Less exposure = less motion smear (400 us costs 1.2 px of smear at 3000 px/s, 3000 us costs 9). A brighter build is an asset, not a defect.</t>
        </is>
      </c>
    </row>
    <row r="64">
      <c r="A64" s="46" t="inlineStr">
        <is>
          <t>Tiebreak:  if both diameters pass every gate within a few percent, take the 20 mm - smaller marker, less occlusion, closer packing on the rig.</t>
        </is>
      </c>
    </row>
    <row r="65">
      <c r="A65" s="46" t="inlineStr">
        <is>
          <t>Bare rows: kept to attribute a bad marker to the LED rather than the build, and to price the diffuser - exposure bare vs diffused is the light the blend cost you.</t>
        </is>
      </c>
    </row>
    <row r="67">
      <c r="A67" s="50" t="inlineStr">
        <is>
          <t>EXAMPLE ROW - this is the format expected on A_Bench:</t>
        </is>
      </c>
    </row>
    <row r="68">
      <c r="A68" s="47" t="inlineStr">
        <is>
          <t>LED Type</t>
        </is>
      </c>
      <c r="B68" s="47" t="inlineStr">
        <is>
          <t>Build</t>
        </is>
      </c>
      <c r="C68" s="47" t="inlineStr">
        <is>
          <t>Sample</t>
        </is>
      </c>
      <c r="D68" s="47" t="inlineStr">
        <is>
          <t>Drive I</t>
        </is>
      </c>
      <c r="E68" s="47" t="inlineStr">
        <is>
          <t>Exposure</t>
        </is>
      </c>
      <c r="F68" s="47" t="inlineStr">
        <is>
          <t>Peak</t>
        </is>
      </c>
      <c r="G68" s="47" t="inlineStr">
        <is>
          <t>Sat px</t>
        </is>
      </c>
      <c r="H68" s="47" t="inlineStr">
        <is>
          <t>Area</t>
        </is>
      </c>
      <c r="I68" s="47" t="inlineStr">
        <is>
          <t>npix</t>
        </is>
      </c>
      <c r="J68" s="47" t="inlineStr">
        <is>
          <t>blobs</t>
        </is>
      </c>
      <c r="K68" s="47" t="inlineStr">
        <is>
          <t>w/h</t>
        </is>
      </c>
      <c r="L68" s="47" t="inlineStr">
        <is>
          <t>sigma_u</t>
        </is>
      </c>
      <c r="M68" s="47" t="inlineStr">
        <is>
          <t>sigma_v</t>
        </is>
      </c>
    </row>
    <row r="69">
      <c r="A69" s="51" t="inlineStr">
        <is>
          <t>Everlight</t>
        </is>
      </c>
      <c r="B69" s="51" t="inlineStr">
        <is>
          <t>20 mm</t>
        </is>
      </c>
      <c r="C69" s="51" t="n">
        <v>1</v>
      </c>
      <c r="D69" s="51" t="n">
        <v>38.2</v>
      </c>
      <c r="E69" s="51" t="n">
        <v>386</v>
      </c>
      <c r="F69" s="51" t="n">
        <v>218</v>
      </c>
      <c r="G69" s="51" t="n">
        <v>0</v>
      </c>
      <c r="H69" s="51" t="n">
        <v>984</v>
      </c>
      <c r="I69" s="51" t="n">
        <v>962</v>
      </c>
      <c r="J69" s="51" t="n">
        <v>1</v>
      </c>
      <c r="K69" s="51" t="n">
        <v>1.03</v>
      </c>
      <c r="L69" s="51" t="n">
        <v>0.0298</v>
      </c>
      <c r="M69" s="51" t="n">
        <v>0.0271</v>
      </c>
    </row>
    <row r="71">
      <c r="A71" s="92" t="inlineStr">
        <is>
          <t>TEST E - Pulsed / strobed drive   (the condition the strobed PCB will actually run in)</t>
        </is>
      </c>
    </row>
    <row r="72">
      <c r="A72" s="91" t="inlineStr">
        <is>
          <t>16. Everything on A_Bench is DC. Before committing the PCB, repeat the best builds under pulse on sheet E_Strobe.</t>
        </is>
      </c>
    </row>
    <row r="73">
      <c r="A73" s="91" t="inlineStr">
        <is>
          <t>17. PULSE WIDTH FIRST. The shutter rolls: row r starts integrating r x 21.3 us after row 0, so a pulse shorter than (marker row span x row time + exposure) lights only PART of the marker. At 30 rows and ~1200 us exposure that floor is ~1.8 ms. Sweep the width and find where the banding stops.</t>
        </is>
      </c>
    </row>
    <row r="74">
      <c r="A74" s="91" t="inlineStr">
        <is>
          <t>18. A short pulse bands the blob exactly like saturation does. Tell them apart: saturation banding needs the blob to CLIP; strobe banding shows a sharp boundary row whether it clips or not.</t>
        </is>
      </c>
    </row>
    <row r="75">
      <c r="A75" s="91" t="inlineStr">
        <is>
          <t>19. Then E2: same build, pulsed vs its DC row. Fill and blobs are geometry and must not move. Pulsed/DC sigma near 1.00 means the strobe is harmless.</t>
        </is>
      </c>
    </row>
    <row r="76">
      <c r="A76" s="91" t="inlineStr">
        <is>
          <t>20. E3 reads the strobe edge off the rolling shutter. The boundary row IS a sub-frame timestamp, good to about one row time (~21 us) against 10-30 ms for frame-level alignment. That is what makes extrinsic calibration possible without hardware sync.</t>
        </is>
      </c>
    </row>
    <row r="77">
      <c r="A77" s="91" t="inlineStr">
        <is>
          <t>21. Keep the marker lit during EVERY tracking exposure. Prefer mostly-ON with brief OFF gaps rather than a low-duty flash, or most frames will be blank and the wand will not be tracked.</t>
        </is>
      </c>
    </row>
    <row r="79">
      <c r="A79" s="92" t="inlineStr">
        <is>
          <t>TEST F - Ambient IR and threshold headroom   (run FIRST tomorrow - it gates Test E)</t>
        </is>
      </c>
    </row>
    <row r="80">
      <c r="A80" s="91" t="inlineStr">
        <is>
          <t>22. LEDs OFF. Sweep exposure 100 us to 30 ms and record background mean, SD, max and uniformity (sheet F_Ambient). Do it under the lighting you will actually calibrate in.</t>
        </is>
      </c>
    </row>
    <row r="81">
      <c r="A81" s="91" t="inlineStr">
        <is>
          <t>23. The longest exposure whose background max stays well under THRESH_LO is your ceiling. That ceiling decides whether Test E regime B (long exposure, short flash) is available at all.</t>
        </is>
      </c>
    </row>
    <row r="82">
      <c r="A82" s="91" t="inlineStr">
        <is>
          <t>24. Raise REFINE_FLOOR with the background, not just THRESH_LO: it is subtracted before weighting, so a floor below the background drags the centroid toward the box centre.</t>
        </is>
      </c>
    </row>
    <row r="83">
      <c r="A83" s="91" t="inlineStr">
        <is>
          <t>25. F3 is the decisive one: target the SAME peak at low and high background and compare sigma. Equal sigma means the background is only an offset. Degraded sigma means shot noise, which no threshold recovers.</t>
        </is>
      </c>
    </row>
    <row r="84">
      <c r="A84" s="91" t="inlineStr">
        <is>
          <t>26. A visible-light-cut filter passes ALL IR, and daylight is strong at 700-1100 nm. All four LEDs are 850 nm, so an 850 nm BANDPASS filter is the real fix. Remedies cheapest first: calibrate at night / black out; bandpass filter; shorter exposure; then raise THRESH_LO.</t>
        </is>
      </c>
    </row>
    <row r="86">
      <c r="A86" s="92" t="inlineStr">
        <is>
          <t>TEST G - Diffuser geometry: diameter x wall thickness   (sheet G_Diffuser)</t>
        </is>
      </c>
    </row>
    <row r="87">
      <c r="A87" s="91" t="inlineStr">
        <is>
          <t>27. 2 diameters x 3 wall thicknesses (2 / 3 / 4 mm) x 4 LED types. The 2 mm rows are already measured and are pulled from A_Bench - do not repeat them.</t>
        </is>
      </c>
    </row>
    <row r="88">
      <c r="A88" s="91" t="inlineStr">
        <is>
          <t>28. Do priority 1 first: Vishay and Kingbright at 3 and 4 mm. They are the parts that ring and they have the exposure budget to pay for a thicker wall.</t>
        </is>
      </c>
    </row>
    <row r="89">
      <c r="A89" s="91" t="inlineStr">
        <is>
          <t>29. XL is priority 3 and is a CONTROL: it already fills at 2 mm, so its exposure-vs-wall curve measures the material's attenuation per mm and predicts the cost for the other parts.</t>
        </is>
      </c>
    </row>
    <row r="90">
      <c r="A90" s="91" t="inlineStr">
        <is>
          <t>30. Record whether the wall grew inward (outer diameter fixed) or outward. Growing inward shrinks the cavity and the LED standoff at the same time, so thickness and standoff are confounded - the sheet computes both so the effect is visible.</t>
        </is>
      </c>
    </row>
    <row r="91">
      <c r="A91" s="91" t="inlineStr">
        <is>
          <t>31. A thicker wall is only a win if the fill gate passes WITHOUT pricing the build out on exposure. Every 1000 us costs ~1.3 px of smear at 1 m/s.</t>
        </is>
      </c>
    </row>
    <row r="93">
      <c r="A93" s="92" t="inlineStr">
        <is>
          <t>TEST C2 - THRESH_LO sweep   (do it WITH Test C, before the final Test A run)</t>
        </is>
      </c>
    </row>
    <row r="94">
      <c r="A94" s="91" t="inlineStr">
        <is>
          <t>32. THRESH_LO has been 80 since run 1, but the background measures max 4 counts - flat across 300x of exposure. 80 is ~20x above the noise floor and is discarding the blob's dim skirt, which is the signal that matters at maximum range.</t>
        </is>
      </c>
    </row>
    <row r="95">
      <c r="A95" s="91" t="inlineStr">
        <is>
          <t>33. At the FAR limit, sweep THRESH_LO 80 / 60 / 50 / 40 / 30 / 20 and record detection, area, npix, fill and sigma. Area should grow and sigma should improve.</t>
        </is>
      </c>
    </row>
    <row r="96">
      <c r="A96" s="91" t="inlineStr">
        <is>
          <t>34. Repeat at the NEAR limit and count FALSE blobs in the whole frame. The limit is reflections and glare, not the sensor floor. The chosen value must survive both ends.</t>
        </is>
      </c>
    </row>
    <row r="97">
      <c r="A97" s="91" t="inlineStr">
        <is>
          <t>35. If you adopt a new value, recompute AREA_MIN_SENSOR (~0.7x the area at max range at the new threshold) and re-sweep REFINE_FLOOR. Every area figure taken at 80 becomes incomparable, so decide BEFORE the final Test A run.</t>
        </is>
      </c>
    </row>
    <row r="99">
      <c r="A99" s="6" t="inlineStr">
        <is>
          <t>LENS FOCUS - PREREQUISITE FOR INTRINSICS AND EXTRINSICS (added 2026-09-09)</t>
        </is>
      </c>
    </row>
    <row r="100">
      <c r="A100" t="inlineStr">
        <is>
          <t>Each camera's lens focus must be SET, VERIFIED and LOCKED before intrinsics are captured, and re-verified before extrinsics.</t>
        </is>
      </c>
    </row>
    <row r="101">
      <c r="A101" t="inlineStr">
        <is>
          <t>This belongs in the GUI as a formal calibration step, not something done by memory.</t>
        </is>
      </c>
    </row>
    <row r="103">
      <c r="A103" t="inlineStr">
        <is>
          <t>Why:</t>
        </is>
      </c>
    </row>
    <row r="104">
      <c r="A104" t="inlineStr">
        <is>
          <t>1. Focus silently corrupts the range test. A near-focused lens makes the blob hollow out and grow with distance, mimicking and partly cancelling 1/d^2. The exposure-vs-distance curve flattens and the apparent detection range is wrong. Not detectable from the data alone.</t>
        </is>
      </c>
    </row>
    <row r="105">
      <c r="A105" t="inlineStr">
        <is>
          <t>2. Focus corrupts intrinsics. Defocus degrades corner/blob localisation, so distortion coefficients absorb focus error. Changing focus AFTER intrinsics shifts the effective focal length and silently invalidates them.</t>
        </is>
      </c>
    </row>
    <row r="106">
      <c r="A106" t="inlineStr">
        <is>
          <t>3. Focus must not move between intrinsics and extrinsics. If the ring is not mechanically locked it will drift when the camera is handled.</t>
        </is>
      </c>
    </row>
    <row r="107">
      <c r="A107" t="inlineStr">
        <is>
          <t>4. All cameras must be focused at the same working distance, or per-camera centroid precision differs and triangulation is weighted wrongly.</t>
        </is>
      </c>
    </row>
    <row r="109">
      <c r="A109" t="inlineStr">
        <is>
          <t>Procedure:</t>
        </is>
      </c>
    </row>
    <row r="110">
      <c r="A110" t="inlineStr">
        <is>
          <t>a. Place a marker at mid-flight-space distance (~4-5 m for a 9x7x4 m volume).</t>
        </is>
      </c>
    </row>
    <row r="111">
      <c r="A111" t="inlineStr">
        <is>
          <t>b. Run the focus readout at fixed exposure. BEST FOCUS = MAX peak, MIN area. fill must be &gt; 1 (peaked); fill &lt; 1 means hollow, i.e. defocused.</t>
        </is>
      </c>
    </row>
    <row r="112">
      <c r="A112" t="inlineStr">
        <is>
          <t>c. Lock the ring mechanically (grub screw / paint / tape). Record the locked position.</t>
        </is>
      </c>
    </row>
    <row r="113">
      <c r="A113" t="inlineStr">
        <is>
          <t>d. Capture intrinsics. Do not touch the ring again.</t>
        </is>
      </c>
    </row>
    <row r="114">
      <c r="A114" t="inlineStr">
        <is>
          <t>e. Before extrinsics, re-run (b) VERIFY-ONLY and confirm peak/area match the recorded values. If not, the ring moved - recapture intrinsics.</t>
        </is>
      </c>
    </row>
    <row r="116">
      <c r="A116" t="inlineStr">
        <is>
          <t>Tooling gotcha: exposure MUST be re-applied AFTER IOCTL_SET_READOUT_WINDOW. Programming the readout window resets it (25000 us came back as 10880 us), which at range drops the marker below THRESH_LO and finds no blob at all.</t>
        </is>
      </c>
    </row>
  </sheetData>
  <pageMargins left="0.75" right="0.75" top="1" bottom="1" header="0.5" footer="0.5"/>
</worksheet>
</file>

<file path=xl/worksheets/sheet2.xml><?xml version="1.0" encoding="utf-8"?>
<worksheet xmlns="http://schemas.openxmlformats.org/spreadsheetml/2006/main">
  <sheetPr>
    <tabColor rgb="FF1F3864"/>
    <outlinePr summaryBelow="1" summaryRight="1"/>
    <pageSetUpPr/>
  </sheetPr>
  <dimension ref="A1:V16"/>
  <sheetViews>
    <sheetView showGridLines="0" tabSelected="1" workbookViewId="0">
      <pane xSplit="3" ySplit="4" topLeftCell="D5" activePane="bottomRight" state="frozen"/>
      <selection pane="topRight" activeCell="A1" sqref="A1"/>
      <selection pane="bottomLeft" activeCell="A1" sqref="A1"/>
      <selection pane="bottomRight" activeCell="G24" sqref="G24"/>
    </sheetView>
  </sheetViews>
  <sheetFormatPr baseColWidth="10" defaultColWidth="8.83203125" defaultRowHeight="15"/>
  <cols>
    <col width="13" customWidth="1" min="1" max="1"/>
    <col width="11" customWidth="1" min="2" max="2"/>
    <col width="9" customWidth="1" min="3" max="4"/>
    <col width="10" customWidth="1" min="4" max="4"/>
    <col width="10" customWidth="1" min="5" max="5"/>
    <col width="9" customWidth="1" min="6" max="7"/>
    <col width="10" customWidth="1" min="8" max="8"/>
    <col width="13" customWidth="1" min="9" max="9"/>
    <col width="12" customWidth="1" min="10" max="10"/>
    <col width="11" customWidth="1" min="11" max="13"/>
    <col width="9" customWidth="1" min="14" max="14"/>
    <col width="11" customWidth="1" min="15" max="16"/>
    <col width="12" customWidth="1" min="17" max="18"/>
    <col width="46" customWidth="1" min="19" max="19"/>
    <col width="12" customWidth="1" min="21" max="21"/>
    <col width="12" customWidth="1" min="22" max="22"/>
  </cols>
  <sheetData>
    <row r="1" ht="18" customHeight="1">
      <c r="A1" s="1" t="inlineStr">
        <is>
          <t>TEST A - Bench comparison at 4 m, 0 deg   (run 4: reprinted caps, 4.5 s cure, blackout)</t>
        </is>
      </c>
    </row>
    <row r="2">
      <c r="A2" s="2" t="inlineStr">
        <is>
          <t>Blue on yellow = fill in.  Black = calculated.  Peak targeted 205-215. BLEND GATE IS NOW fill &gt;= 0.70, not 0.85: across 16 builds sigma improves with fill only up to ~0.65-0.70 and is flat above it (0.018-0.026 for every build, all four LEDs, against 10-15% repeatability). Above the knee you pay exposure for blending that buys no precision. Caps reprinted 4.5s cure, no supports, post-cured together. Focus locked, blackout, 4 m.</t>
        </is>
      </c>
    </row>
    <row r="3" ht="30" customHeight="1">
      <c r="A3" s="8" t="inlineStr">
        <is>
          <t>LED Type</t>
        </is>
      </c>
      <c r="B3" s="8" t="inlineStr">
        <is>
          <t>Build</t>
        </is>
      </c>
      <c r="C3" s="8" t="inlineStr">
        <is>
          <t>Sample</t>
        </is>
      </c>
      <c r="D3" s="8" t="inlineStr">
        <is>
          <t>Distance
(m)</t>
        </is>
      </c>
      <c r="E3" s="8" t="inlineStr">
        <is>
          <t>Drive I
(mA)</t>
        </is>
      </c>
      <c r="F3" s="8" t="inlineStr">
        <is>
          <t>Exposure
(us)</t>
        </is>
      </c>
      <c r="G3" s="8" t="inlineStr">
        <is>
          <t>Peak
(0-255)</t>
        </is>
      </c>
      <c r="H3" s="8" t="inlineStr">
        <is>
          <t>Sat px</t>
        </is>
      </c>
      <c r="I3" s="8" t="inlineStr">
        <is>
          <t>Frames sat
(of 200)</t>
        </is>
      </c>
      <c r="J3" s="8" t="inlineStr">
        <is>
          <t>Next exposure
(us, aim 210)</t>
        </is>
      </c>
      <c r="K3" s="8" t="inlineStr">
        <is>
          <t>Sensor area
(px)</t>
        </is>
      </c>
      <c r="L3" s="8" t="inlineStr">
        <is>
          <t>npix
(refined)</t>
        </is>
      </c>
      <c r="M3" s="8" t="inlineStr">
        <is>
          <t>blobs
(must be 1)</t>
        </is>
      </c>
      <c r="N3" s="8" t="inlineStr">
        <is>
          <t>w/h
(want ~1.00)</t>
        </is>
      </c>
      <c r="O3" s="8" t="inlineStr">
        <is>
          <t>Blend
gate</t>
        </is>
      </c>
      <c r="P3" s="8" t="inlineStr">
        <is>
          <t>sigma_u
(px)</t>
        </is>
      </c>
      <c r="Q3" s="8" t="inlineStr">
        <is>
          <t>sigma_v
(px)</t>
        </is>
      </c>
      <c r="R3" s="8" t="inlineStr">
        <is>
          <t>sigma_RMS
(px)</t>
        </is>
      </c>
      <c r="S3" s="8" t="inlineStr">
        <is>
          <t>sig_v/sig_u
(&gt;3 = suspect)</t>
        </is>
      </c>
      <c r="T3" s="8" t="inlineStr">
        <is>
          <t>Notes</t>
        </is>
      </c>
      <c r="U3" s="8" t="inlineStr">
        <is>
          <t>Fill
(centre/rim)</t>
        </is>
      </c>
      <c r="V3" s="8" t="inlineStr">
        <is>
          <t>Lobe
(0=circular)</t>
        </is>
      </c>
    </row>
    <row r="4">
      <c r="A4" s="9" t="inlineStr">
        <is>
          <t>EXAMPLE</t>
        </is>
      </c>
      <c r="B4" s="10" t="inlineStr">
        <is>
          <t>20 mm</t>
        </is>
      </c>
      <c r="C4" s="11" t="n">
        <v>1</v>
      </c>
      <c r="E4" s="54" t="n">
        <v>38.2</v>
      </c>
      <c r="F4" s="11" t="n">
        <v>386</v>
      </c>
      <c r="G4" s="11" t="n">
        <v>218</v>
      </c>
      <c r="H4" s="11" t="n">
        <v>0</v>
      </c>
      <c r="I4" s="11" t="n">
        <v>0</v>
      </c>
      <c r="J4" s="11">
        <f>IF(OR(F4="",G4="",G4=0),"",IF(H4&gt;0,"reduce light",ROUND(F4*210/G4/21.3,0)*21.3))</f>
        <v/>
      </c>
      <c r="K4" s="11" t="n">
        <v>984</v>
      </c>
      <c r="L4" s="11" t="n">
        <v>962</v>
      </c>
      <c r="M4" s="11" t="n">
        <v>1</v>
      </c>
      <c r="N4" s="13" t="n">
        <v>1.03</v>
      </c>
      <c r="O4" s="10">
        <f>IF(OR(M4="",N4="",U4=""),"",IF(AND(M4=1,N4&gt;=0.9,N4&lt;=1.1,U4&gt;=0.70),"pass","FAIL"))</f>
        <v/>
      </c>
      <c r="P4" s="55" t="n">
        <v>0.0298</v>
      </c>
      <c r="Q4" s="55" t="n">
        <v>0.0271</v>
      </c>
      <c r="R4" s="55">
        <f>IF(OR(P4="",Q4=""),"",SQRT(0.5*(P4^2+Q4^2)))</f>
        <v/>
      </c>
      <c r="S4" s="54">
        <f>IF(OR(P4="",Q4="",P4=0),"",Q4/P4)</f>
        <v/>
      </c>
      <c r="T4" s="9" t="inlineStr">
        <is>
          <t>peak in band, blend passes</t>
        </is>
      </c>
      <c r="U4" s="13" t="n"/>
      <c r="V4" s="124" t="n"/>
    </row>
    <row r="5">
      <c r="A5" s="15" t="inlineStr">
        <is>
          <t>Vishay</t>
        </is>
      </c>
      <c r="B5" s="16" t="inlineStr">
        <is>
          <t>bare (ref)</t>
        </is>
      </c>
      <c r="C5" s="17" t="n">
        <v>1</v>
      </c>
      <c r="D5" s="56" t="n">
        <v>4</v>
      </c>
      <c r="E5" s="57" t="n">
        <v>78.8</v>
      </c>
      <c r="F5" s="19" t="n"/>
      <c r="G5" s="19" t="n"/>
      <c r="H5" s="58" t="n"/>
      <c r="I5" s="19" t="n"/>
      <c r="J5" s="17">
        <f>IF(OR(F5="",G5="",G5=0),"",IF(H5&gt;0,"reduce light",ROUND(F5*210/G5/21.3,0)*21.3))</f>
        <v/>
      </c>
      <c r="K5" s="19" t="n"/>
      <c r="L5" s="19" t="n"/>
      <c r="M5" s="19" t="n"/>
      <c r="N5" s="21" t="n"/>
      <c r="O5" s="16">
        <f>IF(OR(M5="",N5="",U5=""),"",IF(AND(M5=1,N5&gt;=0.9,N5&lt;=1.1,U5&gt;=0.70),"pass","FAIL"))</f>
        <v/>
      </c>
      <c r="P5" s="59" t="n"/>
      <c r="Q5" s="59" t="n"/>
      <c r="R5" s="60">
        <f>IF(OR(P5="",Q5=""),"",SQRT(0.5*(P5^2+Q5^2)))</f>
        <v/>
      </c>
      <c r="S5" s="57">
        <f>IF(OR(P5="",Q5="",P5=0),"",Q5/P5)</f>
        <v/>
      </c>
      <c r="T5" s="117" t="inlineStr"/>
      <c r="U5" s="21" t="n"/>
      <c r="V5" s="39" t="n"/>
    </row>
    <row r="6">
      <c r="A6" s="25" t="inlineStr">
        <is>
          <t>Everlight</t>
        </is>
      </c>
      <c r="B6" s="26" t="inlineStr">
        <is>
          <t>bare (ref)</t>
        </is>
      </c>
      <c r="C6" s="27" t="n">
        <v>1</v>
      </c>
      <c r="D6" s="61" t="n">
        <v>4</v>
      </c>
      <c r="E6" s="53" t="n">
        <v>38.2</v>
      </c>
      <c r="F6" s="29" t="n"/>
      <c r="G6" s="29" t="n"/>
      <c r="H6" s="62" t="n"/>
      <c r="I6" s="29" t="n"/>
      <c r="J6" s="27">
        <f>IF(OR(F6="",G6="",G6=0),"",IF(H6&gt;0,"reduce light",ROUND(F6*210/G6/21.3,0)*21.3))</f>
        <v/>
      </c>
      <c r="K6" s="29" t="n"/>
      <c r="L6" s="29" t="n"/>
      <c r="M6" s="29" t="n"/>
      <c r="N6" s="31" t="n"/>
      <c r="O6" s="26">
        <f>IF(OR(M6="",N6="",U6=""),"",IF(AND(M6=1,N6&gt;=0.9,N6&lt;=1.1,U6&gt;=0.70),"pass","FAIL"))</f>
        <v/>
      </c>
      <c r="P6" s="63" t="n"/>
      <c r="Q6" s="63" t="n"/>
      <c r="R6" s="64">
        <f>IF(OR(P6="",Q6=""),"",SQRT(0.5*(P6^2+Q6^2)))</f>
        <v/>
      </c>
      <c r="S6" s="53">
        <f>IF(OR(P6="",Q6="",P6=0),"",Q6/P6)</f>
        <v/>
      </c>
      <c r="T6" s="118" t="inlineStr"/>
      <c r="U6" s="31" t="n"/>
      <c r="V6" s="41" t="n"/>
    </row>
    <row r="7">
      <c r="A7" s="25" t="inlineStr">
        <is>
          <t>XL</t>
        </is>
      </c>
      <c r="B7" s="26" t="inlineStr">
        <is>
          <t>bare (ref)</t>
        </is>
      </c>
      <c r="C7" s="27" t="n">
        <v>1</v>
      </c>
      <c r="D7" s="61" t="n">
        <v>4</v>
      </c>
      <c r="E7" s="53" t="n">
        <v>21.7</v>
      </c>
      <c r="F7" s="29" t="n"/>
      <c r="G7" s="29" t="n"/>
      <c r="H7" s="62" t="n"/>
      <c r="I7" s="29" t="n"/>
      <c r="J7" s="27">
        <f>IF(OR(F7="",G7="",G7=0),"",IF(H7&gt;0,"reduce light",ROUND(F7*210/G7/21.3,0)*21.3))</f>
        <v/>
      </c>
      <c r="K7" s="29" t="n"/>
      <c r="L7" s="29" t="n"/>
      <c r="M7" s="29" t="n"/>
      <c r="N7" s="31" t="n"/>
      <c r="O7" s="26">
        <f>IF(OR(M7="",N7="",U7=""),"",IF(AND(M7=1,N7&gt;=0.9,N7&lt;=1.1,U7&gt;=0.70),"pass","FAIL"))</f>
        <v/>
      </c>
      <c r="P7" s="63" t="n"/>
      <c r="Q7" s="63" t="n"/>
      <c r="R7" s="64">
        <f>IF(OR(P7="",Q7=""),"",SQRT(0.5*(P7^2+Q7^2)))</f>
        <v/>
      </c>
      <c r="S7" s="53">
        <f>IF(OR(P7="",Q7="",P7=0),"",Q7/P7)</f>
        <v/>
      </c>
      <c r="T7" s="118" t="inlineStr"/>
      <c r="U7" s="31" t="n"/>
      <c r="V7" s="41" t="n"/>
    </row>
    <row r="8">
      <c r="A8" s="25" t="inlineStr">
        <is>
          <t>Kingbright</t>
        </is>
      </c>
      <c r="B8" s="26" t="inlineStr">
        <is>
          <t>bare (ref)</t>
        </is>
      </c>
      <c r="C8" s="27" t="n">
        <v>1</v>
      </c>
      <c r="D8" s="61" t="n">
        <v>4</v>
      </c>
      <c r="E8" s="53" t="n">
        <v>38.2</v>
      </c>
      <c r="F8" s="29" t="n"/>
      <c r="G8" s="29" t="n"/>
      <c r="H8" s="62" t="n"/>
      <c r="I8" s="29" t="n"/>
      <c r="J8" s="27">
        <f>IF(OR(F8="",G8="",G8=0),"",IF(H8&gt;0,"reduce light",ROUND(F8*210/G8/21.3,0)*21.3))</f>
        <v/>
      </c>
      <c r="K8" s="29" t="n"/>
      <c r="L8" s="29" t="n"/>
      <c r="M8" s="29" t="n"/>
      <c r="N8" s="31" t="n"/>
      <c r="O8" s="26">
        <f>IF(OR(M8="",N8="",U8=""),"",IF(AND(M8=1,N8&gt;=0.9,N8&lt;=1.1,U8&gt;=0.70),"pass","FAIL"))</f>
        <v/>
      </c>
      <c r="P8" s="63" t="n"/>
      <c r="Q8" s="63" t="n"/>
      <c r="R8" s="64">
        <f>IF(OR(P8="",Q8=""),"",SQRT(0.5*(P8^2+Q8^2)))</f>
        <v/>
      </c>
      <c r="S8" s="53">
        <f>IF(OR(P8="",Q8="",P8=0),"",Q8/P8)</f>
        <v/>
      </c>
      <c r="T8" s="118" t="inlineStr"/>
      <c r="U8" s="31" t="n"/>
      <c r="V8" s="41" t="n"/>
    </row>
    <row r="9">
      <c r="A9" s="15" t="inlineStr">
        <is>
          <t>Vishay</t>
        </is>
      </c>
      <c r="B9" s="16" t="inlineStr">
        <is>
          <t>20 mm</t>
        </is>
      </c>
      <c r="C9" s="17" t="n">
        <v>1</v>
      </c>
      <c r="D9" s="56" t="n">
        <v>4</v>
      </c>
      <c r="E9" s="57" t="n">
        <v>78.8</v>
      </c>
      <c r="F9" s="19" t="n">
        <v>215</v>
      </c>
      <c r="G9" s="19" t="n">
        <v>213.6</v>
      </c>
      <c r="H9" s="58" t="n">
        <v>0</v>
      </c>
      <c r="I9" s="19" t="n">
        <v>0</v>
      </c>
      <c r="J9" s="17">
        <f>IF(OR(F9="",G9="",G9=0),"",IF(H9&gt;0,"reduce light",ROUND(F9*210/G9/21.3,0)*21.3))</f>
        <v/>
      </c>
      <c r="K9" s="19" t="n">
        <v>437</v>
      </c>
      <c r="L9" s="19" t="n">
        <v>658</v>
      </c>
      <c r="M9" s="19" t="n">
        <v>1</v>
      </c>
      <c r="N9" s="21" t="n">
        <v>1.04</v>
      </c>
      <c r="O9" s="16">
        <f>IF(OR(M9="",N9="",U9=""),"",IF(AND(M9=1,N9&gt;=0.9,N9&lt;=1.1,U9&gt;=0.70),"pass","FAIL"))</f>
        <v/>
      </c>
      <c r="P9" s="59" t="n">
        <v>0.0347</v>
      </c>
      <c r="Q9" s="59" t="n">
        <v>0.0405</v>
      </c>
      <c r="R9" s="60">
        <f>IF(OR(P9="",Q9=""),"",SQRT(0.5*(P9^2+Q9^2)))</f>
        <v/>
      </c>
      <c r="S9" s="57">
        <f>IF(OR(P9="",Q9="",P9=0),"",Q9/P9)</f>
        <v/>
      </c>
      <c r="T9" s="117" t="inlineStr">
        <is>
          <t>cap 1. Worst blend of the study: fill 0.53 AND lobe 0.120 - the only build where the four LEDs are still azimuthally distinct (everything else 0.057-0.082). Also the shortest exposure (215 us = 0.3 px smear) and the worst sigma (0.0377).  flux 434, blend FAIL</t>
        </is>
      </c>
      <c r="U9" s="21" t="n">
        <v>0.53</v>
      </c>
      <c r="V9" s="39" t="n">
        <v>0.12</v>
      </c>
    </row>
    <row r="10">
      <c r="A10" s="25" t="inlineStr">
        <is>
          <t>Everlight</t>
        </is>
      </c>
      <c r="B10" s="26" t="inlineStr">
        <is>
          <t>20 mm</t>
        </is>
      </c>
      <c r="C10" s="27" t="n">
        <v>1</v>
      </c>
      <c r="D10" s="61" t="n">
        <v>4</v>
      </c>
      <c r="E10" s="53" t="n">
        <v>38.2</v>
      </c>
      <c r="F10" s="29" t="n">
        <v>2282</v>
      </c>
      <c r="G10" s="29" t="n">
        <v>208.7</v>
      </c>
      <c r="H10" s="62" t="n">
        <v>0</v>
      </c>
      <c r="I10" s="29" t="n">
        <v>0</v>
      </c>
      <c r="J10" s="27">
        <f>IF(OR(F10="",G10="",G10=0),"",IF(H10&gt;0,"reduce light",ROUND(F10*210/G10/21.3,0)*21.3))</f>
        <v/>
      </c>
      <c r="K10" s="29" t="n">
        <v>774</v>
      </c>
      <c r="L10" s="29" t="n">
        <v>866</v>
      </c>
      <c r="M10" s="29" t="n">
        <v>1</v>
      </c>
      <c r="N10" s="31" t="n">
        <v>1.03</v>
      </c>
      <c r="O10" s="26">
        <f>IF(OR(M10="",N10="",U10=""),"",IF(AND(M10=1,N10&gt;=0.9,N10&lt;=1.1,U10&gt;=0.70),"pass","FAIL"))</f>
        <v/>
      </c>
      <c r="P10" s="63" t="n">
        <v>0.0188</v>
      </c>
      <c r="Q10" s="63" t="n">
        <v>0.0211</v>
      </c>
      <c r="R10" s="64">
        <f>IF(OR(P10="",Q10=""),"",SQRT(0.5*(P10^2+Q10^2)))</f>
        <v/>
      </c>
      <c r="S10" s="53">
        <f>IF(OR(P10="",Q10="",P10=0),"",Q10/P10)</f>
        <v/>
      </c>
      <c r="T10" s="118" t="inlineStr">
        <is>
          <t>cap 1. Lobe 0.057 is the lowest of the study - confirms all four LEDs survived the reversed connection. Intermediate on every axis, as beam angle predicts.  flux 71, blend FAIL</t>
        </is>
      </c>
      <c r="U10" s="31" t="n">
        <v>0.77</v>
      </c>
      <c r="V10" s="41" t="n">
        <v>0.057</v>
      </c>
    </row>
    <row r="11">
      <c r="A11" s="25" t="inlineStr">
        <is>
          <t>XL</t>
        </is>
      </c>
      <c r="B11" s="26" t="inlineStr">
        <is>
          <t>20 mm</t>
        </is>
      </c>
      <c r="C11" s="27" t="n">
        <v>1</v>
      </c>
      <c r="D11" s="61" t="n">
        <v>4</v>
      </c>
      <c r="E11" s="53" t="n">
        <v>21.7</v>
      </c>
      <c r="F11" s="29" t="n">
        <v>5967</v>
      </c>
      <c r="G11" s="29" t="n">
        <v>205.1</v>
      </c>
      <c r="H11" s="62" t="n">
        <v>0</v>
      </c>
      <c r="I11" s="29" t="n">
        <v>0</v>
      </c>
      <c r="J11" s="27">
        <f>IF(OR(F11="",G11="",G11=0),"",IF(H11&gt;0,"reduce light",ROUND(F11*210/G11/21.3,0)*21.3))</f>
        <v/>
      </c>
      <c r="K11" s="29" t="n">
        <v>816</v>
      </c>
      <c r="L11" s="29" t="n">
        <v>921</v>
      </c>
      <c r="M11" s="29" t="n">
        <v>1</v>
      </c>
      <c r="N11" s="31" t="n">
        <v>1.01</v>
      </c>
      <c r="O11" s="26">
        <f>IF(OR(M11="",N11="",U11=""),"",IF(AND(M11=1,N11&gt;=0.9,N11&lt;=1.1,U11&gt;=0.70),"pass","FAIL"))</f>
        <v/>
      </c>
      <c r="P11" s="63" t="n">
        <v>0.0177</v>
      </c>
      <c r="Q11" s="63" t="n">
        <v>0.032</v>
      </c>
      <c r="R11" s="64">
        <f>IF(OR(P11="",Q11=""),"",SQRT(0.5*(P11^2+Q11^2)))</f>
        <v/>
      </c>
      <c r="S11" s="53">
        <f>IF(OR(P11="",Q11="",P11=0),"",Q11/P11)</f>
        <v/>
      </c>
      <c r="T11" s="118" t="inlineStr">
        <is>
          <t>cap 1. Fills FAR better than Kingbright (0.82 vs 0.59-0.67) and the rim is nearly circular (lobe 0.065). Confirms beam angle dominates over shell geometry. Cost: 5967 us.  flux 28, blend FAIL</t>
        </is>
      </c>
      <c r="U11" s="31" t="n">
        <v>0.82</v>
      </c>
      <c r="V11" s="41" t="n">
        <v>0.065</v>
      </c>
    </row>
    <row r="12">
      <c r="A12" s="25" t="inlineStr">
        <is>
          <t>Kingbright</t>
        </is>
      </c>
      <c r="B12" s="26" t="inlineStr">
        <is>
          <t>20 mm</t>
        </is>
      </c>
      <c r="C12" s="27" t="n">
        <v>1</v>
      </c>
      <c r="D12" s="61" t="n">
        <v>4</v>
      </c>
      <c r="E12" s="53" t="n">
        <v>38.2</v>
      </c>
      <c r="F12" s="29" t="n">
        <v>539</v>
      </c>
      <c r="G12" s="29" t="n">
        <v>212.7</v>
      </c>
      <c r="H12" s="62" t="n">
        <v>0</v>
      </c>
      <c r="I12" s="29" t="n">
        <v>0</v>
      </c>
      <c r="J12" s="27">
        <f>IF(OR(F12="",G12="",G12=0),"",IF(H12&gt;0,"reduce light",ROUND(F12*210/G12/21.3,0)*21.3))</f>
        <v/>
      </c>
      <c r="K12" s="29" t="n">
        <v>603</v>
      </c>
      <c r="L12" s="29" t="n">
        <v>729</v>
      </c>
      <c r="M12" s="29" t="n">
        <v>1</v>
      </c>
      <c r="N12" s="31" t="n">
        <v>1.03</v>
      </c>
      <c r="O12" s="26">
        <f>IF(OR(M12="",N12="",U12=""),"",IF(AND(M12=1,N12&gt;=0.9,N12&lt;=1.1,U12&gt;=0.70),"pass","FAIL"))</f>
        <v/>
      </c>
      <c r="P12" s="63" t="n">
        <v>0.0233</v>
      </c>
      <c r="Q12" s="63" t="n">
        <v>0.0263</v>
      </c>
      <c r="R12" s="64">
        <f>IF(OR(P12="",Q12=""),"",SQRT(0.5*(P12^2+Q12^2)))</f>
        <v/>
      </c>
      <c r="S12" s="53">
        <f>IF(OR(P12="",Q12="",P12=0),"",Q12/P12)</f>
        <v/>
      </c>
      <c r="T12" s="118" t="inlineStr">
        <is>
          <t>cap 1, re-seat #2 (first fit: 557us area638 fill0.59 sigma0.0270). Repeats to 5% area, 0.01 fill, 8% sigma - the new no-support post-cured caps are twice as repeatable as the old ones (was 16% on sigma). Lobe 0.082 vs XL 0.059: azimuthally blended, so this is an ANNULUS not four lobes.  flux 238, blend FAIL</t>
        </is>
      </c>
      <c r="U12" s="31" t="n">
        <v>0.6</v>
      </c>
      <c r="V12" s="41" t="n">
        <v>0.082</v>
      </c>
    </row>
    <row r="13">
      <c r="A13" s="15" t="inlineStr">
        <is>
          <t>Vishay</t>
        </is>
      </c>
      <c r="B13" s="16" t="inlineStr">
        <is>
          <t>25 mm</t>
        </is>
      </c>
      <c r="C13" s="17" t="n">
        <v>1</v>
      </c>
      <c r="D13" s="56" t="n">
        <v>4</v>
      </c>
      <c r="E13" s="57" t="n">
        <v>78.8</v>
      </c>
      <c r="F13" s="19" t="n">
        <v>503</v>
      </c>
      <c r="G13" s="19" t="n">
        <v>211</v>
      </c>
      <c r="H13" s="58" t="n">
        <v>0</v>
      </c>
      <c r="I13" s="19" t="n">
        <v>0</v>
      </c>
      <c r="J13" s="17">
        <f>IF(OR(F13="",G13="",G13=0),"",IF(H13&gt;0,"reduce light",ROUND(F13*210/G13/21.3,0)*21.3))</f>
        <v/>
      </c>
      <c r="K13" s="19" t="n">
        <v>718</v>
      </c>
      <c r="L13" s="19" t="n">
        <v>811</v>
      </c>
      <c r="M13" s="19" t="n">
        <v>1</v>
      </c>
      <c r="N13" s="21" t="n">
        <v>1.02</v>
      </c>
      <c r="O13" s="16">
        <f>IF(OR(M13="",N13="",U13=""),"",IF(AND(M13=1,N13&gt;=0.9,N13&lt;=1.1,U13&gt;=0.70),"pass","FAIL"))</f>
        <v/>
      </c>
      <c r="P13" s="59" t="n">
        <v>0.0206</v>
      </c>
      <c r="Q13" s="59" t="n">
        <v>0.0246</v>
      </c>
      <c r="R13" s="60">
        <f>IF(OR(P13="",Q13=""),"",SQRT(0.5*(P13^2+Q13^2)))</f>
        <v/>
      </c>
      <c r="S13" s="57">
        <f>IF(OR(P13="",Q13="",P13=0),"",Q13/P13)</f>
        <v/>
      </c>
      <c r="T13" s="117" t="inlineStr">
        <is>
          <t>cap 1. Biggest single improvement in the study: diameter gives +0.18 fill (0.53-&gt;0.71), lobe 0.120-&gt;0.067, sigma 40% better. Sigma now EQUALS Everlight 25/0.2 (0.0227 vs 0.0228) at 7x less smear (0.65 vs 4.5 px) - fails the fill gate but may win on the tracking criterion.  flux 301, blend FAIL</t>
        </is>
      </c>
      <c r="U13" s="21" t="n">
        <v>0.71</v>
      </c>
      <c r="V13" s="39" t="n">
        <v>0.067</v>
      </c>
    </row>
    <row r="14">
      <c r="A14" s="25" t="inlineStr">
        <is>
          <t>Everlight</t>
        </is>
      </c>
      <c r="B14" s="26" t="inlineStr">
        <is>
          <t>25 mm</t>
        </is>
      </c>
      <c r="C14" s="27" t="n">
        <v>1</v>
      </c>
      <c r="D14" s="61" t="n">
        <v>4</v>
      </c>
      <c r="E14" s="53" t="n">
        <v>38.2</v>
      </c>
      <c r="F14" s="29" t="n">
        <v>3469</v>
      </c>
      <c r="G14" s="29" t="n">
        <v>211.6</v>
      </c>
      <c r="H14" s="62" t="n">
        <v>0</v>
      </c>
      <c r="I14" s="29" t="n">
        <v>0</v>
      </c>
      <c r="J14" s="27">
        <f>IF(OR(F14="",G14="",G14=0),"",IF(H14&gt;0,"reduce light",ROUND(F14*210/G14/21.3,0)*21.3))</f>
        <v/>
      </c>
      <c r="K14" s="29" t="n">
        <v>883</v>
      </c>
      <c r="L14" s="29" t="n">
        <v>997</v>
      </c>
      <c r="M14" s="29" t="n">
        <v>1</v>
      </c>
      <c r="N14" s="31" t="n">
        <v>1.03</v>
      </c>
      <c r="O14" s="26">
        <f>IF(OR(M14="",N14="",U14=""),"",IF(AND(M14=1,N14&gt;=0.9,N14&lt;=1.1,U14&gt;=0.70),"pass","FAIL"))</f>
        <v/>
      </c>
      <c r="P14" s="63" t="n">
        <v>0.0158</v>
      </c>
      <c r="Q14" s="63" t="n">
        <v>0.0281</v>
      </c>
      <c r="R14" s="64">
        <f>IF(OR(P14="",Q14=""),"",SQRT(0.5*(P14^2+Q14^2)))</f>
        <v/>
      </c>
      <c r="S14" s="53">
        <f>IF(OR(P14="",Q14="",P14=0),"",Q14/P14)</f>
        <v/>
      </c>
      <c r="T14" s="118" t="inlineStr">
        <is>
          <t>cap 1. PASSES THE BLEND GATE at 0.92, and at 3469 us that is 2.4x less smear than XL 25/0.2 needs for fill 1.00. Diameter is again the strong lever: fill 0.77 -&gt; 0.92 for only 1.52x exposure.  flux 54, blend pass</t>
        </is>
      </c>
      <c r="U14" s="31" t="n">
        <v>0.92</v>
      </c>
      <c r="V14" s="41" t="n">
        <v>0.064</v>
      </c>
    </row>
    <row r="15">
      <c r="A15" s="25" t="inlineStr">
        <is>
          <t>XL</t>
        </is>
      </c>
      <c r="B15" s="26" t="inlineStr">
        <is>
          <t>25 mm</t>
        </is>
      </c>
      <c r="C15" s="27" t="n">
        <v>1</v>
      </c>
      <c r="D15" s="61" t="n">
        <v>4</v>
      </c>
      <c r="E15" s="53" t="n">
        <v>21.7</v>
      </c>
      <c r="F15" s="29" t="n">
        <v>8196</v>
      </c>
      <c r="G15" s="29" t="n">
        <v>215</v>
      </c>
      <c r="H15" s="62" t="n">
        <v>0</v>
      </c>
      <c r="I15" s="29" t="n">
        <v>0</v>
      </c>
      <c r="J15" s="27">
        <f>IF(OR(F15="",G15="",G15=0),"",IF(H15&gt;0,"reduce light",ROUND(F15*210/G15/21.3,0)*21.3))</f>
        <v/>
      </c>
      <c r="K15" s="29" t="n">
        <v>954</v>
      </c>
      <c r="L15" s="29" t="n">
        <v>1069</v>
      </c>
      <c r="M15" s="29" t="n">
        <v>1</v>
      </c>
      <c r="N15" s="31" t="n">
        <v>1.02</v>
      </c>
      <c r="O15" s="26">
        <f>IF(OR(M15="",N15="",U15=""),"",IF(AND(M15=1,N15&gt;=0.9,N15&lt;=1.1,U15&gt;=0.70),"pass","FAIL"))</f>
        <v/>
      </c>
      <c r="P15" s="63" t="n">
        <v>0.016</v>
      </c>
      <c r="Q15" s="63" t="n">
        <v>0.021</v>
      </c>
      <c r="R15" s="64">
        <f>IF(OR(P15="",Q15=""),"",SQRT(0.5*(P15^2+Q15^2)))</f>
        <v/>
      </c>
      <c r="S15" s="53">
        <f>IF(OR(P15="",Q15="",P15=0),"",Q15/P15)</f>
        <v/>
      </c>
      <c r="T15" s="118" t="inlineStr">
        <is>
          <t>cap 1. BEST BUILD OF THE STUDY on optics: fill 1.00 (centre as bright as rim), lobe 0.059, largest area 954, lowest sigma 0.0186. For XL diameter is the strong lever (fill 0.82-&gt;1.00) and thickness the weak one (0.82-&gt;0.85).  flux 25, blend pass</t>
        </is>
      </c>
      <c r="U15" s="31" t="n">
        <v>1</v>
      </c>
      <c r="V15" s="41" t="n">
        <v>0.059</v>
      </c>
    </row>
    <row r="16">
      <c r="A16" s="25" t="inlineStr">
        <is>
          <t>Kingbright</t>
        </is>
      </c>
      <c r="B16" s="26" t="inlineStr">
        <is>
          <t>25 mm</t>
        </is>
      </c>
      <c r="C16" s="27" t="n">
        <v>1</v>
      </c>
      <c r="D16" s="61" t="n">
        <v>4</v>
      </c>
      <c r="E16" s="53" t="n">
        <v>38.2</v>
      </c>
      <c r="F16" s="29" t="n">
        <v>1114</v>
      </c>
      <c r="G16" s="29" t="n">
        <v>213.5</v>
      </c>
      <c r="H16" s="62" t="n">
        <v>0</v>
      </c>
      <c r="I16" s="29" t="n">
        <v>0</v>
      </c>
      <c r="J16" s="27">
        <f>IF(OR(F16="",G16="",G16=0),"",IF(H16&gt;0,"reduce light",ROUND(F16*210/G16/21.3,0)*21.3))</f>
        <v/>
      </c>
      <c r="K16" s="29" t="n">
        <v>692</v>
      </c>
      <c r="L16" s="29" t="n">
        <v>778</v>
      </c>
      <c r="M16" s="29" t="n">
        <v>1</v>
      </c>
      <c r="N16" s="31" t="n">
        <v>1.03</v>
      </c>
      <c r="O16" s="26">
        <f>IF(OR(M16="",N16="",U16=""),"",IF(AND(M16=1,N16&gt;=0.9,N16&lt;=1.1,U16&gt;=0.70),"pass","FAIL"))</f>
        <v/>
      </c>
      <c r="P16" s="63" t="n">
        <v>0.0186</v>
      </c>
      <c r="Q16" s="63" t="n">
        <v>0.027</v>
      </c>
      <c r="R16" s="64">
        <f>IF(OR(P16="",Q16=""),"",SQRT(0.5*(P16^2+Q16^2)))</f>
        <v/>
      </c>
      <c r="S16" s="53">
        <f>IF(OR(P16="",Q16="",P16=0),"",Q16/P16)</f>
        <v/>
      </c>
      <c r="T16" s="118" t="inlineStr">
        <is>
          <t>cap 1, re-seat #2 (first: 1132us area702 fill0.66 sigma0.0221). Repeats to 1% area, 0.00 fill, 5% sigma.  flux 133, blend FAIL</t>
        </is>
      </c>
      <c r="U16" s="31" t="n">
        <v>0.66</v>
      </c>
      <c r="V16" s="41" t="n">
        <v>0.07099999999999999</v>
      </c>
    </row>
  </sheetData>
  <pageMargins left="0.75" right="0.75" top="1" bottom="1" header="0.5" footer="0.5"/>
</worksheet>
</file>

<file path=xl/worksheets/sheet3.xml><?xml version="1.0" encoding="utf-8"?>
<worksheet xmlns="http://schemas.openxmlformats.org/spreadsheetml/2006/main">
  <sheetPr>
    <tabColor rgb="FF808080"/>
    <outlinePr summaryBelow="1" summaryRight="1"/>
    <pageSetUpPr/>
  </sheetPr>
  <dimension ref="A1:S16"/>
  <sheetViews>
    <sheetView showGridLines="0" workbookViewId="0">
      <selection activeCell="A1" sqref="A1"/>
    </sheetView>
  </sheetViews>
  <sheetFormatPr baseColWidth="8" defaultRowHeight="15"/>
  <cols>
    <col width="13" customWidth="1" min="1" max="1"/>
    <col width="11" customWidth="1" min="2" max="2"/>
    <col width="9" customWidth="1" min="3" max="3"/>
    <col width="9" customWidth="1" min="4" max="4"/>
    <col width="10" customWidth="1" min="5" max="5"/>
    <col width="9" customWidth="1" min="6" max="6"/>
    <col width="9" customWidth="1" min="7" max="7"/>
    <col width="10" customWidth="1" min="8" max="8"/>
    <col width="13" customWidth="1" min="9" max="9"/>
    <col width="12" customWidth="1" min="10" max="10"/>
    <col width="11" customWidth="1" min="11" max="11"/>
    <col width="11" customWidth="1" min="12" max="12"/>
    <col width="11" customWidth="1" min="13" max="13"/>
    <col width="9" customWidth="1" min="14" max="14"/>
    <col width="11" customWidth="1" min="15" max="15"/>
    <col width="11" customWidth="1" min="16" max="16"/>
    <col width="12" customWidth="1" min="17" max="17"/>
    <col width="12" customWidth="1" min="18" max="18"/>
    <col width="46" customWidth="1" min="19" max="19"/>
  </cols>
  <sheetData>
    <row r="1">
      <c r="A1" s="65" t="inlineStr">
        <is>
          <t>RUN 1 - preliminary, superseded</t>
        </is>
      </c>
    </row>
    <row r="2">
      <c r="A2" s="66" t="inlineStr">
        <is>
          <t>Frozen record of the first characterisation. Distance was never recorded and 8 of the 12 rows were saturated, so the sigmas here are not usable - a clipped blob also bands on alternate rows (measured 2026-08-30), which is what drove sigma_v to 3.2-3.5 px on Kingbright.</t>
        </is>
      </c>
    </row>
    <row r="3" ht="30" customHeight="1">
      <c r="A3" s="8" t="inlineStr">
        <is>
          <t>LED Type</t>
        </is>
      </c>
      <c r="B3" s="8" t="inlineStr">
        <is>
          <t>Build</t>
        </is>
      </c>
      <c r="C3" s="8" t="inlineStr">
        <is>
          <t>Sample</t>
        </is>
      </c>
      <c r="D3" s="8" t="inlineStr">
        <is>
          <t>Drive I
(mA)</t>
        </is>
      </c>
      <c r="E3" s="8" t="inlineStr">
        <is>
          <t>Exposure
(us)</t>
        </is>
      </c>
      <c r="F3" s="8" t="inlineStr">
        <is>
          <t>Peak
(0-255)</t>
        </is>
      </c>
      <c r="G3" s="8" t="inlineStr">
        <is>
          <t>Sat px</t>
        </is>
      </c>
      <c r="H3" s="8" t="inlineStr">
        <is>
          <t>Frames sat
(of 200)</t>
        </is>
      </c>
      <c r="I3" s="8" t="inlineStr">
        <is>
          <t>Next exposure
(us, aim 210)</t>
        </is>
      </c>
      <c r="J3" s="8" t="inlineStr">
        <is>
          <t>Sensor area
(px)</t>
        </is>
      </c>
      <c r="K3" s="8" t="inlineStr">
        <is>
          <t>npix
(refined)</t>
        </is>
      </c>
      <c r="L3" s="8" t="inlineStr">
        <is>
          <t>blobs
(must be 1)</t>
        </is>
      </c>
      <c r="M3" s="8" t="inlineStr">
        <is>
          <t>w/h
(want ~1.00)</t>
        </is>
      </c>
      <c r="N3" s="8" t="inlineStr">
        <is>
          <t>Blend
gate</t>
        </is>
      </c>
      <c r="O3" s="8" t="inlineStr">
        <is>
          <t>sigma_u
(px)</t>
        </is>
      </c>
      <c r="P3" s="8" t="inlineStr">
        <is>
          <t>sigma_v
(px)</t>
        </is>
      </c>
      <c r="Q3" s="8" t="inlineStr">
        <is>
          <t>sigma_RMS
(px)</t>
        </is>
      </c>
      <c r="R3" s="8" t="inlineStr">
        <is>
          <t>sig_v/sig_u
(&gt;3 = suspect)</t>
        </is>
      </c>
      <c r="S3" s="8" t="inlineStr">
        <is>
          <t>Notes</t>
        </is>
      </c>
    </row>
    <row r="4">
      <c r="A4" s="9" t="inlineStr">
        <is>
          <t>EXAMPLE</t>
        </is>
      </c>
      <c r="B4" s="10" t="inlineStr">
        <is>
          <t>20 mm</t>
        </is>
      </c>
      <c r="C4" s="11" t="n">
        <v>1</v>
      </c>
      <c r="D4" s="54" t="n">
        <v>38.2</v>
      </c>
      <c r="E4" s="11" t="n">
        <v>386</v>
      </c>
      <c r="F4" s="11" t="n">
        <v>218</v>
      </c>
      <c r="G4" s="11" t="n">
        <v>0</v>
      </c>
      <c r="H4" s="11" t="n">
        <v>0</v>
      </c>
      <c r="I4" s="11">
        <f>IF(OR(E4="",F4="",F4=0),"",IF(G4&gt;0,"reduce light",ROUND(E4*210/F4/21.3,0)*21.3))</f>
        <v/>
      </c>
      <c r="J4" s="11" t="n">
        <v>984</v>
      </c>
      <c r="K4" s="11" t="n">
        <v>962</v>
      </c>
      <c r="L4" s="11" t="n">
        <v>1</v>
      </c>
      <c r="M4" s="13" t="n">
        <v>1.03</v>
      </c>
      <c r="N4" s="10">
        <f>IF(OR(L4="",M4=""),"",IF(AND(L4=1,M4&gt;=0.9,M4&lt;=1.1),"pass","FAIL"))</f>
        <v/>
      </c>
      <c r="O4" s="55" t="n">
        <v>0.0298</v>
      </c>
      <c r="P4" s="55" t="n">
        <v>0.0271</v>
      </c>
      <c r="Q4" s="55">
        <f>IF(OR(O4="",P4=""),"",SQRT(0.5*(O4^2+P4^2)))</f>
        <v/>
      </c>
      <c r="R4" s="54">
        <f>IF(OR(O4="",P4="",O4=0),"",P4/O4)</f>
        <v/>
      </c>
      <c r="S4" s="9" t="inlineStr">
        <is>
          <t>peak in band, blend passes</t>
        </is>
      </c>
    </row>
    <row r="5">
      <c r="A5" s="15" t="inlineStr">
        <is>
          <t>Vishay</t>
        </is>
      </c>
      <c r="B5" s="16" t="inlineStr">
        <is>
          <t>bare (ref)</t>
        </is>
      </c>
      <c r="C5" s="17" t="n">
        <v>1</v>
      </c>
      <c r="D5" s="57" t="n">
        <v>78.8</v>
      </c>
      <c r="E5" s="19" t="n">
        <v>85</v>
      </c>
      <c r="F5" s="19" t="n">
        <v>255</v>
      </c>
      <c r="G5" s="58" t="n">
        <v>71.3</v>
      </c>
      <c r="H5" s="19" t="n">
        <v>200</v>
      </c>
      <c r="I5" s="17">
        <f>IF(OR(E5="",F5="",F5=0),"",IF(G5&gt;0,"reduce light",ROUND(E5*210/F5/21.3,0)*21.3))</f>
        <v/>
      </c>
      <c r="J5" s="19" t="n">
        <v>736</v>
      </c>
      <c r="K5" s="19" t="n">
        <v>812</v>
      </c>
      <c r="L5" s="19" t="n">
        <v>1</v>
      </c>
      <c r="M5" s="21" t="n">
        <v>1</v>
      </c>
      <c r="N5" s="16">
        <f>IF(OR(L5="",M5=""),"",IF(AND(L5=1,M5&gt;=0.9,M5&lt;=1.1),"pass","FAIL"))</f>
        <v/>
      </c>
      <c r="O5" s="59" t="n">
        <v>0.0269</v>
      </c>
      <c r="P5" s="59" t="n">
        <v>0.0216</v>
      </c>
      <c r="Q5" s="60">
        <f>IF(OR(O5="",P5=""),"",SQRT(0.5*(O5^2+P5^2)))</f>
        <v/>
      </c>
      <c r="R5" s="57">
        <f>IF(OR(O5="",P5="",O5=0),"",P5/O5)</f>
        <v/>
      </c>
      <c r="S5" s="24" t="inlineStr">
        <is>
          <t>Exposure_uS = 85, Couldn't get it to be unsaturated : saturated 200/200 frames</t>
        </is>
      </c>
    </row>
    <row r="6">
      <c r="A6" s="25" t="inlineStr">
        <is>
          <t>Everlight</t>
        </is>
      </c>
      <c r="B6" s="26" t="inlineStr">
        <is>
          <t>bare (ref)</t>
        </is>
      </c>
      <c r="C6" s="27" t="n">
        <v>1</v>
      </c>
      <c r="D6" s="53" t="n">
        <v>38.2</v>
      </c>
      <c r="E6" s="29" t="n">
        <v>85</v>
      </c>
      <c r="F6" s="29" t="n">
        <v>255</v>
      </c>
      <c r="G6" s="62" t="n">
        <v>42.1</v>
      </c>
      <c r="H6" s="29" t="n"/>
      <c r="I6" s="27">
        <f>IF(OR(E6="",F6="",F6=0),"",IF(G6&gt;0,"reduce light",ROUND(E6*210/F6/21.3,0)*21.3))</f>
        <v/>
      </c>
      <c r="J6" s="29" t="n">
        <v>163</v>
      </c>
      <c r="K6" s="29" t="n">
        <v>237</v>
      </c>
      <c r="L6" s="29" t="n">
        <v>1</v>
      </c>
      <c r="M6" s="31" t="n">
        <v>0.9</v>
      </c>
      <c r="N6" s="26">
        <f>IF(OR(L6="",M6=""),"",IF(AND(L6=1,M6&gt;=0.9,M6&lt;=1.1),"pass","FAIL"))</f>
        <v/>
      </c>
      <c r="O6" s="63" t="n">
        <v>0.0409</v>
      </c>
      <c r="P6" s="63" t="n">
        <v>0.6624</v>
      </c>
      <c r="Q6" s="64">
        <f>IF(OR(O6="",P6=""),"",SQRT(0.5*(O6^2+P6^2)))</f>
        <v/>
      </c>
      <c r="R6" s="53">
        <f>IF(OR(O6="",P6="",O6=0),"",P6/O6)</f>
        <v/>
      </c>
      <c r="S6" s="34" t="inlineStr">
        <is>
          <t>Exposure_uS = 85</t>
        </is>
      </c>
    </row>
    <row r="7">
      <c r="A7" s="25" t="inlineStr">
        <is>
          <t>XL</t>
        </is>
      </c>
      <c r="B7" s="26" t="inlineStr">
        <is>
          <t>bare (ref)</t>
        </is>
      </c>
      <c r="C7" s="27" t="n">
        <v>1</v>
      </c>
      <c r="D7" s="53" t="n">
        <v>21.7</v>
      </c>
      <c r="E7" s="29" t="n">
        <v>235</v>
      </c>
      <c r="F7" s="29" t="n">
        <v>255</v>
      </c>
      <c r="G7" s="62" t="n">
        <v>7</v>
      </c>
      <c r="H7" s="29" t="n"/>
      <c r="I7" s="27">
        <f>IF(OR(E7="",F7="",F7=0),"",IF(G7&gt;0,"reduce light",ROUND(E7*210/F7/21.3,0)*21.3))</f>
        <v/>
      </c>
      <c r="J7" s="29" t="n">
        <v>280</v>
      </c>
      <c r="K7" s="29" t="n">
        <v>386</v>
      </c>
      <c r="L7" s="29" t="n">
        <v>1</v>
      </c>
      <c r="M7" s="31" t="n"/>
      <c r="N7" s="26">
        <f>IF(OR(L7="",M7=""),"",IF(AND(L7=1,M7&gt;=0.9,M7&lt;=1.1),"pass","FAIL"))</f>
        <v/>
      </c>
      <c r="O7" s="63" t="n">
        <v>0.06469999999999999</v>
      </c>
      <c r="P7" s="63" t="n">
        <v>0.2962</v>
      </c>
      <c r="Q7" s="64">
        <f>IF(OR(O7="",P7=""),"",SQRT(0.5*(O7^2+P7^2)))</f>
        <v/>
      </c>
      <c r="R7" s="53">
        <f>IF(OR(O7="",P7="",O7=0),"",P7/O7)</f>
        <v/>
      </c>
      <c r="S7" s="35" t="inlineStr">
        <is>
          <t>CHECK - row was entered shifted; unexplained value 3.5 sat in Sensor area. Exposure_uS = 235</t>
        </is>
      </c>
    </row>
    <row r="8">
      <c r="A8" s="25" t="inlineStr">
        <is>
          <t>Kingbright</t>
        </is>
      </c>
      <c r="B8" s="26" t="inlineStr">
        <is>
          <t>bare (ref)</t>
        </is>
      </c>
      <c r="C8" s="27" t="n">
        <v>1</v>
      </c>
      <c r="D8" s="53" t="n">
        <v>38.2</v>
      </c>
      <c r="E8" s="29" t="n">
        <v>42</v>
      </c>
      <c r="F8" s="29" t="n">
        <v>255</v>
      </c>
      <c r="G8" s="62" t="n">
        <v>89.7</v>
      </c>
      <c r="H8" s="29" t="n"/>
      <c r="I8" s="27">
        <f>IF(OR(E8="",F8="",F8=0),"",IF(G8&gt;0,"reduce light",ROUND(E8*210/F8/21.3,0)*21.3))</f>
        <v/>
      </c>
      <c r="J8" s="29" t="n">
        <v>323</v>
      </c>
      <c r="K8" s="29" t="n">
        <v>395</v>
      </c>
      <c r="L8" s="29" t="n">
        <v>1</v>
      </c>
      <c r="M8" s="31" t="n">
        <v>1.13</v>
      </c>
      <c r="N8" s="26">
        <f>IF(OR(L8="",M8=""),"",IF(AND(L8=1,M8&gt;=0.9,M8&lt;=1.1),"pass","FAIL"))</f>
        <v/>
      </c>
      <c r="O8" s="63" t="n">
        <v>0.09719999999999999</v>
      </c>
      <c r="P8" s="63" t="n">
        <v>0.2132</v>
      </c>
      <c r="Q8" s="64">
        <f>IF(OR(O8="",P8=""),"",SQRT(0.5*(O8^2+P8^2)))</f>
        <v/>
      </c>
      <c r="R8" s="53">
        <f>IF(OR(O8="",P8="",O8=0),"",P8/O8)</f>
        <v/>
      </c>
      <c r="S8" s="34" t="inlineStr">
        <is>
          <t>Exposure_uS = 42</t>
        </is>
      </c>
    </row>
    <row r="9">
      <c r="A9" s="15" t="inlineStr">
        <is>
          <t>Vishay</t>
        </is>
      </c>
      <c r="B9" s="16" t="inlineStr">
        <is>
          <t>20 mm</t>
        </is>
      </c>
      <c r="C9" s="17" t="n">
        <v>1</v>
      </c>
      <c r="D9" s="57" t="n">
        <v>78.8</v>
      </c>
      <c r="E9" s="19" t="n">
        <v>85</v>
      </c>
      <c r="F9" s="19" t="n">
        <v>255</v>
      </c>
      <c r="G9" s="58" t="n">
        <v>58</v>
      </c>
      <c r="H9" s="19" t="n">
        <v>200</v>
      </c>
      <c r="I9" s="17">
        <f>IF(OR(E9="",F9="",F9=0),"",IF(G9&gt;0,"reduce light",ROUND(E9*210/F9/21.3,0)*21.3))</f>
        <v/>
      </c>
      <c r="J9" s="19" t="n">
        <v>248</v>
      </c>
      <c r="K9" s="19" t="n">
        <v>328</v>
      </c>
      <c r="L9" s="19" t="n">
        <v>1</v>
      </c>
      <c r="M9" s="21" t="n">
        <v>1</v>
      </c>
      <c r="N9" s="16">
        <f>IF(OR(L9="",M9=""),"",IF(AND(L9=1,M9&gt;=0.9,M9&lt;=1.1),"pass","FAIL"))</f>
        <v/>
      </c>
      <c r="O9" s="59" t="n">
        <v>0.0427</v>
      </c>
      <c r="P9" s="59" t="n">
        <v>0.0166</v>
      </c>
      <c r="Q9" s="60">
        <f>IF(OR(O9="",P9=""),"",SQRT(0.5*(O9^2+P9^2)))</f>
        <v/>
      </c>
      <c r="R9" s="57">
        <f>IF(OR(O9="",P9="",O9=0),"",P9/O9)</f>
        <v/>
      </c>
      <c r="S9" s="24" t="inlineStr">
        <is>
          <t>Exposure_uS = 85, Couldn't get it to be unsaturated: saturated 200/200 frames</t>
        </is>
      </c>
    </row>
    <row r="10">
      <c r="A10" s="25" t="inlineStr">
        <is>
          <t>Everlight</t>
        </is>
      </c>
      <c r="B10" s="26" t="inlineStr">
        <is>
          <t>20 mm</t>
        </is>
      </c>
      <c r="C10" s="27" t="n">
        <v>1</v>
      </c>
      <c r="D10" s="53" t="n">
        <v>38.2</v>
      </c>
      <c r="E10" s="29" t="n">
        <v>386</v>
      </c>
      <c r="F10" s="29" t="n">
        <v>194</v>
      </c>
      <c r="G10" s="62" t="n">
        <v>0</v>
      </c>
      <c r="H10" s="29" t="n"/>
      <c r="I10" s="27">
        <f>IF(OR(E10="",F10="",F10=0),"",IF(G10&gt;0,"reduce light",ROUND(E10*210/F10/21.3,0)*21.3))</f>
        <v/>
      </c>
      <c r="J10" s="29" t="n">
        <v>541</v>
      </c>
      <c r="K10" s="29" t="n">
        <v>716</v>
      </c>
      <c r="L10" s="29" t="n">
        <v>1</v>
      </c>
      <c r="M10" s="31" t="n">
        <v>1</v>
      </c>
      <c r="N10" s="26">
        <f>IF(OR(L10="",M10=""),"",IF(AND(L10=1,M10&gt;=0.9,M10&lt;=1.1),"pass","FAIL"))</f>
        <v/>
      </c>
      <c r="O10" s="63" t="n">
        <v>0.0263</v>
      </c>
      <c r="P10" s="63" t="n">
        <v>0.04</v>
      </c>
      <c r="Q10" s="64">
        <f>IF(OR(O10="",P10=""),"",SQRT(0.5*(O10^2+P10^2)))</f>
        <v/>
      </c>
      <c r="R10" s="53">
        <f>IF(OR(O10="",P10="",O10=0),"",P10/O10)</f>
        <v/>
      </c>
      <c r="S10" s="34" t="inlineStr">
        <is>
          <t>Exposure_uS = 386</t>
        </is>
      </c>
    </row>
    <row r="11">
      <c r="A11" s="25" t="inlineStr">
        <is>
          <t>XL</t>
        </is>
      </c>
      <c r="B11" s="26" t="inlineStr">
        <is>
          <t>20 mm</t>
        </is>
      </c>
      <c r="C11" s="27" t="n">
        <v>1</v>
      </c>
      <c r="D11" s="53" t="n">
        <v>21.7</v>
      </c>
      <c r="E11" s="29" t="n">
        <v>493</v>
      </c>
      <c r="F11" s="29" t="n">
        <v>187</v>
      </c>
      <c r="G11" s="62" t="n">
        <v>0</v>
      </c>
      <c r="H11" s="29" t="n"/>
      <c r="I11" s="27">
        <f>IF(OR(E11="",F11="",F11=0),"",IF(G11&gt;0,"reduce light",ROUND(E11*210/F11/21.3,0)*21.3))</f>
        <v/>
      </c>
      <c r="J11" s="29" t="n">
        <v>855</v>
      </c>
      <c r="K11" s="29" t="n">
        <v>1117</v>
      </c>
      <c r="L11" s="29" t="n"/>
      <c r="M11" s="31" t="n"/>
      <c r="N11" s="26">
        <f>IF(OR(L11="",M11=""),"",IF(AND(L11=1,M11&gt;=0.9,M11&lt;=1.1),"pass","FAIL"))</f>
        <v/>
      </c>
      <c r="O11" s="63" t="n">
        <v>0.0305</v>
      </c>
      <c r="P11" s="63" t="n">
        <v>0.0305</v>
      </c>
      <c r="Q11" s="64">
        <f>IF(OR(O11="",P11=""),"",SQRT(0.5*(O11^2+P11^2)))</f>
        <v/>
      </c>
      <c r="R11" s="53">
        <f>IF(OR(O11="",P11="",O11=0),"",P11/O11)</f>
        <v/>
      </c>
      <c r="S11" s="34" t="inlineStr">
        <is>
          <t>Exposure_uS = 493</t>
        </is>
      </c>
    </row>
    <row r="12">
      <c r="A12" s="25" t="inlineStr">
        <is>
          <t>Kingbright</t>
        </is>
      </c>
      <c r="B12" s="26" t="inlineStr">
        <is>
          <t>20 mm</t>
        </is>
      </c>
      <c r="C12" s="27" t="n">
        <v>1</v>
      </c>
      <c r="D12" s="53" t="n">
        <v>38.2</v>
      </c>
      <c r="E12" s="29" t="n">
        <v>128</v>
      </c>
      <c r="F12" s="29" t="n">
        <v>252</v>
      </c>
      <c r="G12" s="62" t="n">
        <v>8.1</v>
      </c>
      <c r="H12" s="29" t="n">
        <v>188</v>
      </c>
      <c r="I12" s="27">
        <f>IF(OR(E12="",F12="",F12=0),"",IF(G12&gt;0,"reduce light",ROUND(E12*210/F12/21.3,0)*21.3))</f>
        <v/>
      </c>
      <c r="J12" s="29" t="n">
        <v>177</v>
      </c>
      <c r="K12" s="29" t="n">
        <v>298</v>
      </c>
      <c r="L12" s="29" t="n">
        <v>1</v>
      </c>
      <c r="M12" s="31" t="n">
        <v>1</v>
      </c>
      <c r="N12" s="26">
        <f>IF(OR(L12="",M12=""),"",IF(AND(L12=1,M12&gt;=0.9,M12&lt;=1.1),"pass","FAIL"))</f>
        <v/>
      </c>
      <c r="O12" s="63" t="n">
        <v>0.1574</v>
      </c>
      <c r="P12" s="63" t="n">
        <v>3.2473</v>
      </c>
      <c r="Q12" s="64">
        <f>IF(OR(O12="",P12=""),"",SQRT(0.5*(O12^2+P12^2)))</f>
        <v/>
      </c>
      <c r="R12" s="53">
        <f>IF(OR(O12="",P12="",O12=0),"",P12/O12)</f>
        <v/>
      </c>
      <c r="S12" s="34" t="inlineStr">
        <is>
          <t>Exposure_uS = 128, Couldn't get it to be unsaturated: saturated 188/200 frames</t>
        </is>
      </c>
    </row>
    <row r="13">
      <c r="A13" s="15" t="inlineStr">
        <is>
          <t>Vishay</t>
        </is>
      </c>
      <c r="B13" s="16" t="inlineStr">
        <is>
          <t>25 mm</t>
        </is>
      </c>
      <c r="C13" s="17" t="n">
        <v>1</v>
      </c>
      <c r="D13" s="57" t="n">
        <v>78.8</v>
      </c>
      <c r="E13" s="19" t="n">
        <v>85</v>
      </c>
      <c r="F13" s="19" t="n">
        <v>255</v>
      </c>
      <c r="G13" s="58" t="n">
        <v>67.7</v>
      </c>
      <c r="H13" s="19" t="n">
        <v>200</v>
      </c>
      <c r="I13" s="17">
        <f>IF(OR(E13="",F13="",F13=0),"",IF(G13&gt;0,"reduce light",ROUND(E13*210/F13/21.3,0)*21.3))</f>
        <v/>
      </c>
      <c r="J13" s="19" t="n">
        <v>347</v>
      </c>
      <c r="K13" s="19" t="n">
        <v>447</v>
      </c>
      <c r="L13" s="19" t="n">
        <v>1</v>
      </c>
      <c r="M13" s="21" t="n">
        <v>1.13</v>
      </c>
      <c r="N13" s="16">
        <f>IF(OR(L13="",M13=""),"",IF(AND(L13=1,M13&gt;=0.9,M13&lt;=1.1),"pass","FAIL"))</f>
        <v/>
      </c>
      <c r="O13" s="59" t="n">
        <v>0.0536</v>
      </c>
      <c r="P13" s="59" t="n">
        <v>0.0165</v>
      </c>
      <c r="Q13" s="60">
        <f>IF(OR(O13="",P13=""),"",SQRT(0.5*(O13^2+P13^2)))</f>
        <v/>
      </c>
      <c r="R13" s="57">
        <f>IF(OR(O13="",P13="",O13=0),"",P13/O13)</f>
        <v/>
      </c>
      <c r="S13" s="24" t="inlineStr">
        <is>
          <t>Exposure_uS = 85, Couldn't get it to be unsaturated: saturated 200/200 frames</t>
        </is>
      </c>
    </row>
    <row r="14">
      <c r="A14" s="25" t="inlineStr">
        <is>
          <t>Everlight</t>
        </is>
      </c>
      <c r="B14" s="26" t="inlineStr">
        <is>
          <t>25 mm</t>
        </is>
      </c>
      <c r="C14" s="27" t="n">
        <v>1</v>
      </c>
      <c r="D14" s="53" t="n">
        <v>38.2</v>
      </c>
      <c r="E14" s="29" t="n">
        <v>493</v>
      </c>
      <c r="F14" s="29" t="n">
        <v>194</v>
      </c>
      <c r="G14" s="62" t="n">
        <v>0</v>
      </c>
      <c r="H14" s="29" t="n"/>
      <c r="I14" s="27">
        <f>IF(OR(E14="",F14="",F14=0),"",IF(G14&gt;0,"reduce light",ROUND(E14*210/F14/21.3,0)*21.3))</f>
        <v/>
      </c>
      <c r="J14" s="29" t="n">
        <v>739</v>
      </c>
      <c r="K14" s="29" t="n">
        <v>1018</v>
      </c>
      <c r="L14" s="29" t="n">
        <v>1</v>
      </c>
      <c r="M14" s="31" t="n">
        <v>1</v>
      </c>
      <c r="N14" s="26">
        <f>IF(OR(L14="",M14=""),"",IF(AND(L14=1,M14&gt;=0.9,M14&lt;=1.1),"pass","FAIL"))</f>
        <v/>
      </c>
      <c r="O14" s="63" t="n">
        <v>0.0237</v>
      </c>
      <c r="P14" s="63" t="n">
        <v>0.0319</v>
      </c>
      <c r="Q14" s="64">
        <f>IF(OR(O14="",P14=""),"",SQRT(0.5*(O14^2+P14^2)))</f>
        <v/>
      </c>
      <c r="R14" s="53">
        <f>IF(OR(O14="",P14="",O14=0),"",P14/O14)</f>
        <v/>
      </c>
      <c r="S14" s="34" t="inlineStr">
        <is>
          <t>Exposure_uS = 493</t>
        </is>
      </c>
    </row>
    <row r="15">
      <c r="A15" s="25" t="inlineStr">
        <is>
          <t>XL</t>
        </is>
      </c>
      <c r="B15" s="26" t="inlineStr">
        <is>
          <t>25 mm</t>
        </is>
      </c>
      <c r="C15" s="27" t="n">
        <v>1</v>
      </c>
      <c r="D15" s="53" t="n">
        <v>21.7</v>
      </c>
      <c r="E15" s="29" t="n">
        <v>686</v>
      </c>
      <c r="F15" s="29" t="n">
        <v>143</v>
      </c>
      <c r="G15" s="62" t="n">
        <v>0</v>
      </c>
      <c r="H15" s="29" t="n"/>
      <c r="I15" s="27">
        <f>IF(OR(E15="",F15="",F15=0),"",IF(G15&gt;0,"reduce light",ROUND(E15*210/F15/21.3,0)*21.3))</f>
        <v/>
      </c>
      <c r="J15" s="29" t="n">
        <v>444</v>
      </c>
      <c r="K15" s="29" t="n">
        <v>639</v>
      </c>
      <c r="L15" s="29" t="n">
        <v>1</v>
      </c>
      <c r="M15" s="31" t="n">
        <v>1</v>
      </c>
      <c r="N15" s="26">
        <f>IF(OR(L15="",M15=""),"",IF(AND(L15=1,M15&gt;=0.9,M15&lt;=1.1),"pass","FAIL"))</f>
        <v/>
      </c>
      <c r="O15" s="63" t="n">
        <v>0.0294</v>
      </c>
      <c r="P15" s="63" t="n">
        <v>0.0287</v>
      </c>
      <c r="Q15" s="64">
        <f>IF(OR(O15="",P15=""),"",SQRT(0.5*(O15^2+P15^2)))</f>
        <v/>
      </c>
      <c r="R15" s="53">
        <f>IF(OR(O15="",P15="",O15=0),"",P15/O15)</f>
        <v/>
      </c>
      <c r="S15" s="34" t="inlineStr">
        <is>
          <t>Exposure_uS = 686</t>
        </is>
      </c>
    </row>
    <row r="16">
      <c r="A16" s="25" t="inlineStr">
        <is>
          <t>Kingbright</t>
        </is>
      </c>
      <c r="B16" s="26" t="inlineStr">
        <is>
          <t>25 mm</t>
        </is>
      </c>
      <c r="C16" s="27" t="n">
        <v>1</v>
      </c>
      <c r="D16" s="53" t="n">
        <v>38.2</v>
      </c>
      <c r="E16" s="29" t="n">
        <v>128</v>
      </c>
      <c r="F16" s="29" t="n">
        <v>248</v>
      </c>
      <c r="G16" s="62" t="n">
        <v>5.3</v>
      </c>
      <c r="H16" s="29" t="n">
        <v>124</v>
      </c>
      <c r="I16" s="27">
        <f>IF(OR(E16="",F16="",F16=0),"",IF(G16&gt;0,"reduce light",ROUND(E16*210/F16/21.3,0)*21.3))</f>
        <v/>
      </c>
      <c r="J16" s="29" t="n">
        <v>163</v>
      </c>
      <c r="K16" s="29" t="n">
        <v>282</v>
      </c>
      <c r="L16" s="29" t="n">
        <v>1</v>
      </c>
      <c r="M16" s="31" t="n">
        <v>1</v>
      </c>
      <c r="N16" s="26">
        <f>IF(OR(L16="",M16=""),"",IF(AND(L16=1,M16&gt;=0.9,M16&lt;=1.1),"pass","FAIL"))</f>
        <v/>
      </c>
      <c r="O16" s="63" t="n">
        <v>0.0712</v>
      </c>
      <c r="P16" s="63" t="n">
        <v>3.5417</v>
      </c>
      <c r="Q16" s="64">
        <f>IF(OR(O16="",P16=""),"",SQRT(0.5*(O16^2+P16^2)))</f>
        <v/>
      </c>
      <c r="R16" s="53">
        <f>IF(OR(O16="",P16="",O16=0),"",P16/O16)</f>
        <v/>
      </c>
      <c r="S16" s="34" t="inlineStr">
        <is>
          <t>Exposure_uS = 128, Couldn't get it to be unsaturated: saturated 124/200 frames</t>
        </is>
      </c>
    </row>
  </sheetData>
  <pageMargins left="0.75" right="0.75" top="1" bottom="1" header="0.5" footer="0.5"/>
</worksheet>
</file>

<file path=xl/worksheets/sheet4.xml><?xml version="1.0" encoding="utf-8"?>
<worksheet xmlns="http://schemas.openxmlformats.org/spreadsheetml/2006/main">
  <sheetPr>
    <tabColor rgb="FF808080"/>
    <outlinePr summaryBelow="1" summaryRight="1"/>
    <pageSetUpPr/>
  </sheetPr>
  <dimension ref="A1:U16"/>
  <sheetViews>
    <sheetView showGridLines="0" workbookViewId="0">
      <selection activeCell="A1" sqref="A1"/>
    </sheetView>
  </sheetViews>
  <sheetFormatPr baseColWidth="8" defaultRowHeight="15"/>
  <cols>
    <col width="13" customWidth="1" min="1" max="1"/>
    <col width="11" customWidth="1" min="2" max="2"/>
    <col width="9" customWidth="1" min="3" max="3"/>
    <col width="9" customWidth="1" min="4" max="4"/>
    <col width="10" customWidth="1" min="5" max="5"/>
    <col width="10" customWidth="1" min="6" max="6"/>
    <col width="9" customWidth="1" min="7" max="7"/>
    <col width="9" customWidth="1" min="8" max="8"/>
    <col width="10" customWidth="1" min="9" max="9"/>
    <col width="13" customWidth="1" min="10" max="10"/>
    <col width="12" customWidth="1" min="11" max="11"/>
    <col width="11" customWidth="1" min="12" max="12"/>
    <col width="11" customWidth="1" min="13" max="13"/>
    <col width="11" customWidth="1" min="14" max="14"/>
    <col width="9" customWidth="1" min="15" max="15"/>
    <col width="11" customWidth="1" min="16" max="16"/>
    <col width="11" customWidth="1" min="17" max="17"/>
    <col width="12" customWidth="1" min="18" max="18"/>
    <col width="12" customWidth="1" min="19" max="19"/>
    <col width="46" customWidth="1" min="20" max="20"/>
    <col width="12" customWidth="1" min="21" max="21"/>
  </cols>
  <sheetData>
    <row r="1">
      <c r="A1" s="65" t="inlineStr">
        <is>
          <t>RUN 2 - 4 m, 0.2 mm wall, 2026-08-30</t>
        </is>
      </c>
    </row>
    <row r="2">
      <c r="A2" s="66" t="inlineStr">
        <is>
          <t>Complete 12-row set and the source of every conclusion in NOTES.md. Superseded only because the rig was packed up afterwards, so distance and focus will differ on rebuild - exposure and area are not comparable across a teardown. Sigma and fill should be.</t>
        </is>
      </c>
    </row>
    <row r="3" ht="30" customHeight="1">
      <c r="A3" s="8" t="inlineStr">
        <is>
          <t>LED Type</t>
        </is>
      </c>
      <c r="B3" s="8" t="inlineStr">
        <is>
          <t>Build</t>
        </is>
      </c>
      <c r="C3" s="8" t="inlineStr">
        <is>
          <t>Sample</t>
        </is>
      </c>
      <c r="D3" s="8" t="inlineStr">
        <is>
          <t>Distance
(m)</t>
        </is>
      </c>
      <c r="E3" s="8" t="inlineStr">
        <is>
          <t>Drive I
(mA)</t>
        </is>
      </c>
      <c r="F3" s="8" t="inlineStr">
        <is>
          <t>Exposure
(us)</t>
        </is>
      </c>
      <c r="G3" s="8" t="inlineStr">
        <is>
          <t>Peak
(0-255)</t>
        </is>
      </c>
      <c r="H3" s="8" t="inlineStr">
        <is>
          <t>Sat px</t>
        </is>
      </c>
      <c r="I3" s="8" t="inlineStr">
        <is>
          <t>Frames sat
(of 200)</t>
        </is>
      </c>
      <c r="J3" s="8" t="inlineStr">
        <is>
          <t>Next exposure
(us, aim 210)</t>
        </is>
      </c>
      <c r="K3" s="8" t="inlineStr">
        <is>
          <t>Sensor area
(px)</t>
        </is>
      </c>
      <c r="L3" s="8" t="inlineStr">
        <is>
          <t>npix
(refined)</t>
        </is>
      </c>
      <c r="M3" s="8" t="inlineStr">
        <is>
          <t>blobs
(must be 1)</t>
        </is>
      </c>
      <c r="N3" s="8" t="inlineStr">
        <is>
          <t>w/h
(want ~1.00)</t>
        </is>
      </c>
      <c r="O3" s="8" t="inlineStr">
        <is>
          <t>Blend
gate</t>
        </is>
      </c>
      <c r="P3" s="8" t="inlineStr">
        <is>
          <t>sigma_u
(px)</t>
        </is>
      </c>
      <c r="Q3" s="8" t="inlineStr">
        <is>
          <t>sigma_v
(px)</t>
        </is>
      </c>
      <c r="R3" s="8" t="inlineStr">
        <is>
          <t>sigma_RMS
(px)</t>
        </is>
      </c>
      <c r="S3" s="8" t="inlineStr">
        <is>
          <t>sig_v/sig_u
(&gt;3 = suspect)</t>
        </is>
      </c>
      <c r="T3" s="8" t="inlineStr">
        <is>
          <t>Notes</t>
        </is>
      </c>
      <c r="U3" s="8" t="inlineStr">
        <is>
          <t>Fill
(centre/rim)</t>
        </is>
      </c>
    </row>
    <row r="4">
      <c r="A4" s="9" t="inlineStr">
        <is>
          <t>EXAMPLE</t>
        </is>
      </c>
      <c r="B4" s="10" t="inlineStr">
        <is>
          <t>20 mm</t>
        </is>
      </c>
      <c r="C4" s="11" t="n">
        <v>1</v>
      </c>
      <c r="E4" s="54" t="n">
        <v>38.2</v>
      </c>
      <c r="F4" s="11" t="n">
        <v>386</v>
      </c>
      <c r="G4" s="11" t="n">
        <v>218</v>
      </c>
      <c r="H4" s="11" t="n">
        <v>0</v>
      </c>
      <c r="I4" s="11" t="n">
        <v>0</v>
      </c>
      <c r="J4" s="11">
        <f>IF(OR(F4="",G4="",G4=0),"",IF(H4&gt;0,"reduce light",ROUND(F4*210/G4/21.3,0)*21.3))</f>
        <v/>
      </c>
      <c r="K4" s="11" t="n">
        <v>984</v>
      </c>
      <c r="L4" s="11" t="n">
        <v>962</v>
      </c>
      <c r="M4" s="11" t="n">
        <v>1</v>
      </c>
      <c r="N4" s="13" t="n">
        <v>1.03</v>
      </c>
      <c r="O4" s="10">
        <f>IF(OR(M4="",N4="",U4=""),"",IF(AND(M4=1,N4&gt;=0.9,N4&lt;=1.1,U4&gt;=0.85),"pass","FAIL"))</f>
        <v/>
      </c>
      <c r="P4" s="55" t="n">
        <v>0.0298</v>
      </c>
      <c r="Q4" s="55" t="n">
        <v>0.0271</v>
      </c>
      <c r="R4" s="55">
        <f>IF(OR(P4="",Q4=""),"",SQRT(0.5*(P4^2+Q4^2)))</f>
        <v/>
      </c>
      <c r="S4" s="54">
        <f>IF(OR(P4="",Q4="",P4=0),"",Q4/P4)</f>
        <v/>
      </c>
      <c r="T4" s="9" t="inlineStr">
        <is>
          <t>peak in band, blend passes</t>
        </is>
      </c>
      <c r="U4" s="13" t="n"/>
    </row>
    <row r="5">
      <c r="A5" s="15" t="inlineStr">
        <is>
          <t>Vishay</t>
        </is>
      </c>
      <c r="B5" s="16" t="inlineStr">
        <is>
          <t>bare (ref)</t>
        </is>
      </c>
      <c r="C5" s="17" t="n">
        <v>1</v>
      </c>
      <c r="D5" s="56" t="n">
        <v>4</v>
      </c>
      <c r="E5" s="57" t="n">
        <v>78.8</v>
      </c>
      <c r="F5" s="19" t="n">
        <v>53</v>
      </c>
      <c r="G5" s="19" t="n">
        <v>255</v>
      </c>
      <c r="H5" s="58" t="n">
        <v>18.7</v>
      </c>
      <c r="I5" s="19" t="n">
        <v>200</v>
      </c>
      <c r="J5" s="17">
        <f>IF(OR(F5="",G5="",G5=0),"",IF(H5&gt;0,"reduce light",ROUND(F5*210/G5/21.3,0)*21.3))</f>
        <v/>
      </c>
      <c r="K5" s="19" t="n">
        <v>56</v>
      </c>
      <c r="L5" s="19" t="n">
        <v>97</v>
      </c>
      <c r="M5" s="19" t="n">
        <v>8</v>
      </c>
      <c r="N5" s="21" t="n">
        <v>8.199999999999999</v>
      </c>
      <c r="O5" s="16">
        <f>IF(OR(M5="",N5="",U5=""),"",IF(AND(M5=1,N5&gt;=0.9,N5&lt;=1.1,U5&gt;=0.85),"pass","FAIL"))</f>
        <v/>
      </c>
      <c r="P5" s="59" t="n"/>
      <c r="Q5" s="59" t="n"/>
      <c r="R5" s="60">
        <f>IF(OR(P5="",Q5=""),"",SQRT(0.5*(P5^2+Q5^2)))</f>
        <v/>
      </c>
      <c r="S5" s="57">
        <f>IF(OR(P5="",Q5="",P5=0),"",Q5/P5)</f>
        <v/>
      </c>
      <c r="T5" s="69" t="inlineStr">
        <is>
          <t>VOID - no in-band exposure exists at 4 m. 17 us -&gt; peak below THRESH_LO, 53 us -&gt; clipped in 200/200 frames. Clipping bands alternate rows, which split the disc into 8 blobs; the largest is a 56 px sliver. sigma on that sliver read 0.0678/0.0240 - plausible-looking and meaningless, so it is NOT entered. Needs ~4x attenuation: 120 ohm in place of 33 ohm.</t>
        </is>
      </c>
      <c r="U5" s="21" t="n"/>
    </row>
    <row r="6">
      <c r="A6" s="25" t="inlineStr">
        <is>
          <t>Everlight</t>
        </is>
      </c>
      <c r="B6" s="26" t="inlineStr">
        <is>
          <t>bare (ref)</t>
        </is>
      </c>
      <c r="C6" s="27" t="n">
        <v>1</v>
      </c>
      <c r="D6" s="61" t="n">
        <v>4</v>
      </c>
      <c r="E6" s="53" t="n">
        <v>38.2</v>
      </c>
      <c r="F6" s="29" t="n">
        <v>521</v>
      </c>
      <c r="G6" s="29" t="n">
        <v>204.7</v>
      </c>
      <c r="H6" s="62" t="n">
        <v>0</v>
      </c>
      <c r="I6" s="29" t="n">
        <v>0</v>
      </c>
      <c r="J6" s="27">
        <f>IF(OR(F6="",G6="",G6=0),"",IF(H6&gt;0,"reduce light",ROUND(F6*210/G6/21.3,0)*21.3))</f>
        <v/>
      </c>
      <c r="K6" s="29" t="n">
        <v>406</v>
      </c>
      <c r="L6" s="29" t="n">
        <v>608</v>
      </c>
      <c r="M6" s="29" t="n">
        <v>1</v>
      </c>
      <c r="N6" s="31" t="n">
        <v>1.02</v>
      </c>
      <c r="O6" s="26">
        <f>IF(OR(M6="",N6="",U6=""),"",IF(AND(M6=1,N6&gt;=0.9,N6&lt;=1.1,U6&gt;=0.85),"pass","FAIL"))</f>
        <v/>
      </c>
      <c r="P6" s="63" t="n">
        <v>0.0341</v>
      </c>
      <c r="Q6" s="63" t="n">
        <v>0.0354</v>
      </c>
      <c r="R6" s="64">
        <f>IF(OR(P6="",Q6=""),"",SQRT(0.5*(P6^2+Q6^2)))</f>
        <v/>
      </c>
      <c r="S6" s="53">
        <f>IF(OR(P6="",Q6="",P6=0),"",Q6/P6)</f>
        <v/>
      </c>
      <c r="T6" s="34" t="inlineStr">
        <is>
          <t>peak 204.7 (max 220), sat 0, blend pass, sig_v/sig_u 1.04</t>
        </is>
      </c>
      <c r="U6" s="31" t="n"/>
    </row>
    <row r="7">
      <c r="A7" s="25" t="inlineStr">
        <is>
          <t>XL</t>
        </is>
      </c>
      <c r="B7" s="26" t="inlineStr">
        <is>
          <t>bare (ref)</t>
        </is>
      </c>
      <c r="C7" s="27" t="n">
        <v>1</v>
      </c>
      <c r="D7" s="61" t="n">
        <v>4</v>
      </c>
      <c r="E7" s="53" t="n">
        <v>21.7</v>
      </c>
      <c r="F7" s="29" t="n">
        <v>1707</v>
      </c>
      <c r="G7" s="29" t="n">
        <v>207.4</v>
      </c>
      <c r="H7" s="62" t="n">
        <v>0</v>
      </c>
      <c r="I7" s="29" t="n">
        <v>0</v>
      </c>
      <c r="J7" s="27">
        <f>IF(OR(F7="",G7="",G7=0),"",IF(H7&gt;0,"reduce light",ROUND(F7*210/G7/21.3,0)*21.3))</f>
        <v/>
      </c>
      <c r="K7" s="29" t="n">
        <v>506</v>
      </c>
      <c r="L7" s="29" t="n">
        <v>656</v>
      </c>
      <c r="M7" s="29" t="n">
        <v>3</v>
      </c>
      <c r="N7" s="31" t="n">
        <v>1</v>
      </c>
      <c r="O7" s="26">
        <f>IF(OR(M7="",N7="",U7=""),"",IF(AND(M7=1,N7&gt;=0.9,N7&lt;=1.1,U7&gt;=0.85),"pass","FAIL"))</f>
        <v/>
      </c>
      <c r="P7" s="63" t="n">
        <v>0.0249</v>
      </c>
      <c r="Q7" s="63" t="n">
        <v>0.0285</v>
      </c>
      <c r="R7" s="64">
        <f>IF(OR(P7="",Q7=""),"",SQRT(0.5*(P7^2+Q7^2)))</f>
        <v/>
      </c>
      <c r="S7" s="53">
        <f>IF(OR(P7="",Q7="",P7=0),"",Q7/P7)</f>
        <v/>
      </c>
      <c r="T7" s="35" t="inlineStr">
        <is>
          <t>Bare: blobs 3 / fill 0.61 is the RAW cluster resolving into separate LEDs, which is expected with no diffuser - not a build fault. The blend gate only means something on a diffused row.  peak 207.4 (max 226), sat 0, blend FAIL, sig_v/sig_u 1.14</t>
        </is>
      </c>
      <c r="U7" s="31" t="n">
        <v>0.61</v>
      </c>
    </row>
    <row r="8">
      <c r="A8" s="25" t="inlineStr">
        <is>
          <t>Kingbright</t>
        </is>
      </c>
      <c r="B8" s="26" t="inlineStr">
        <is>
          <t>bare (ref)</t>
        </is>
      </c>
      <c r="C8" s="27" t="n">
        <v>1</v>
      </c>
      <c r="D8" s="61" t="n">
        <v>4</v>
      </c>
      <c r="E8" s="53" t="n">
        <v>38.2</v>
      </c>
      <c r="F8" s="29" t="n">
        <v>53</v>
      </c>
      <c r="G8" s="29" t="n">
        <v>255</v>
      </c>
      <c r="H8" s="62" t="n">
        <v>16.8</v>
      </c>
      <c r="I8" s="29" t="n">
        <v>200</v>
      </c>
      <c r="J8" s="27">
        <f>IF(OR(F8="",G8="",G8=0),"",IF(H8&gt;0,"reduce light",ROUND(F8*210/G8/21.3,0)*21.3))</f>
        <v/>
      </c>
      <c r="K8" s="29" t="n">
        <v>47</v>
      </c>
      <c r="L8" s="29" t="n">
        <v>85</v>
      </c>
      <c r="M8" s="29" t="n">
        <v>8</v>
      </c>
      <c r="N8" s="31" t="n">
        <v>7.98</v>
      </c>
      <c r="O8" s="26">
        <f>IF(OR(M8="",N8="",U8=""),"",IF(AND(M8=1,N8&gt;=0.9,N8&lt;=1.1,U8&gt;=0.85),"pass","FAIL"))</f>
        <v/>
      </c>
      <c r="P8" s="63" t="n"/>
      <c r="Q8" s="63" t="n"/>
      <c r="R8" s="64">
        <f>IF(OR(P8="",Q8=""),"",SQRT(0.5*(P8^2+Q8^2)))</f>
        <v/>
      </c>
      <c r="S8" s="53">
        <f>IF(OR(P8="",Q8="",P8=0),"",Q8/P8)</f>
        <v/>
      </c>
      <c r="T8" s="70" t="inlineStr">
        <is>
          <t>VOID - same failure as Vishay bare: 17 us leaves the blob below THRESH_LO, 35 us clips. Clipped in 200/200 frames, split into 8 banded slivers (w/h 7.98). Sigma NOT entered. Very bright part: needs Vishay-like exposure at HALF the current.  peak 255.0 (max 255), sat 16.8, blend FAIL, sig_v/sig_u 0.19</t>
        </is>
      </c>
      <c r="U8" s="31" t="n">
        <v>1.8</v>
      </c>
    </row>
    <row r="9">
      <c r="A9" s="15" t="inlineStr">
        <is>
          <t>Vishay</t>
        </is>
      </c>
      <c r="B9" s="16" t="inlineStr">
        <is>
          <t>20 mm</t>
        </is>
      </c>
      <c r="C9" s="17" t="n">
        <v>1</v>
      </c>
      <c r="D9" s="56" t="n">
        <v>4</v>
      </c>
      <c r="E9" s="57" t="n">
        <v>78.8</v>
      </c>
      <c r="F9" s="19" t="n">
        <v>323</v>
      </c>
      <c r="G9" s="19" t="n">
        <v>201.4</v>
      </c>
      <c r="H9" s="58" t="n">
        <v>0</v>
      </c>
      <c r="I9" s="19" t="n">
        <v>0</v>
      </c>
      <c r="J9" s="17">
        <f>IF(OR(F9="",G9="",G9=0),"",IF(H9&gt;0,"reduce light",ROUND(F9*210/G9/21.3,0)*21.3))</f>
        <v/>
      </c>
      <c r="K9" s="19" t="n">
        <v>569</v>
      </c>
      <c r="L9" s="19" t="n">
        <v>680</v>
      </c>
      <c r="M9" s="19" t="n">
        <v>1</v>
      </c>
      <c r="N9" s="21" t="n">
        <v>1</v>
      </c>
      <c r="O9" s="16">
        <f>IF(OR(M9="",N9="",U9=""),"",IF(AND(M9=1,N9&gt;=0.9,N9&lt;=1.1,U9&gt;=0.85),"pass","FAIL"))</f>
        <v/>
      </c>
      <c r="P9" s="59" t="n">
        <v>0.0263</v>
      </c>
      <c r="Q9" s="59" t="n">
        <v>0.029</v>
      </c>
      <c r="R9" s="60">
        <f>IF(OR(P9="",Q9=""),"",SQRT(0.5*(P9^2+Q9^2)))</f>
        <v/>
      </c>
      <c r="S9" s="57">
        <f>IF(OR(P9="",Q9="",P9=0),"",Q9/P9)</f>
        <v/>
      </c>
      <c r="T9" s="24" t="inlineStr">
        <is>
          <t>NOT BLENDING - images as a RING: centre only 67% of rim brightness. One connected round blob, so blobs and w/h both pass; only fill catches it.  peak 201.4 (max 218), sat 0, blend FAIL, sig_v/sig_u 1.10</t>
        </is>
      </c>
      <c r="U9" s="21" t="n">
        <v>0.67</v>
      </c>
    </row>
    <row r="10">
      <c r="A10" s="25" t="inlineStr">
        <is>
          <t>Everlight</t>
        </is>
      </c>
      <c r="B10" s="26" t="inlineStr">
        <is>
          <t>20 mm</t>
        </is>
      </c>
      <c r="C10" s="27" t="n">
        <v>1</v>
      </c>
      <c r="D10" s="61" t="n">
        <v>4</v>
      </c>
      <c r="E10" s="53" t="n">
        <v>38.2</v>
      </c>
      <c r="F10" s="29" t="n">
        <v>2588</v>
      </c>
      <c r="G10" s="29" t="n">
        <v>208.5</v>
      </c>
      <c r="H10" s="62" t="n">
        <v>0</v>
      </c>
      <c r="I10" s="29" t="n">
        <v>0</v>
      </c>
      <c r="J10" s="27">
        <f>IF(OR(F10="",G10="",G10=0),"",IF(H10&gt;0,"reduce light",ROUND(F10*210/G10/21.3,0)*21.3))</f>
        <v/>
      </c>
      <c r="K10" s="29" t="n">
        <v>752</v>
      </c>
      <c r="L10" s="29" t="n">
        <v>857</v>
      </c>
      <c r="M10" s="29" t="n">
        <v>1</v>
      </c>
      <c r="N10" s="31" t="n">
        <v>0.98</v>
      </c>
      <c r="O10" s="26">
        <f>IF(OR(M10="",N10="",U10=""),"",IF(AND(M10=1,N10&gt;=0.9,N10&lt;=1.1,U10&gt;=0.85),"pass","FAIL"))</f>
        <v/>
      </c>
      <c r="P10" s="63" t="n">
        <v>0.0173</v>
      </c>
      <c r="Q10" s="63" t="n">
        <v>0.016</v>
      </c>
      <c r="R10" s="64">
        <f>IF(OR(P10="",Q10=""),"",SQRT(0.5*(P10^2+Q10^2)))</f>
        <v/>
      </c>
      <c r="S10" s="53">
        <f>IF(OR(P10="",Q10="",P10=0),"",Q10/P10)</f>
        <v/>
      </c>
      <c r="T10" s="34" t="inlineStr">
        <is>
          <t>PROVISIONAL - diffuser was cracked; reprint and re-measure. Blob stayed round (w/h 0.98, 1 blob) so the crack did not leak a hot spot.  peak 208.5 (max 229), sat 0, blend pass, sig_v/sig_u 0.92</t>
        </is>
      </c>
      <c r="U10" s="31" t="n"/>
    </row>
    <row r="11">
      <c r="A11" s="25" t="inlineStr">
        <is>
          <t>XL</t>
        </is>
      </c>
      <c r="B11" s="26" t="inlineStr">
        <is>
          <t>20 mm</t>
        </is>
      </c>
      <c r="C11" s="27" t="n">
        <v>1</v>
      </c>
      <c r="D11" s="61" t="n">
        <v>4</v>
      </c>
      <c r="E11" s="53" t="n">
        <v>21.7</v>
      </c>
      <c r="F11" s="29" t="n">
        <v>5985</v>
      </c>
      <c r="G11" s="29" t="n">
        <v>218</v>
      </c>
      <c r="H11" s="62" t="n">
        <v>0</v>
      </c>
      <c r="I11" s="29" t="n">
        <v>0</v>
      </c>
      <c r="J11" s="27">
        <f>IF(OR(F11="",G11="",G11=0),"",IF(H11&gt;0,"reduce light",ROUND(F11*210/G11/21.3,0)*21.3))</f>
        <v/>
      </c>
      <c r="K11" s="29" t="n">
        <v>823</v>
      </c>
      <c r="L11" s="29" t="n">
        <v>923</v>
      </c>
      <c r="M11" s="29" t="n">
        <v>1</v>
      </c>
      <c r="N11" s="31" t="n">
        <v>1</v>
      </c>
      <c r="O11" s="26">
        <f>IF(OR(M11="",N11="",U11=""),"",IF(AND(M11=1,N11&gt;=0.9,N11&lt;=1.1,U11&gt;=0.85),"pass","FAIL"))</f>
        <v/>
      </c>
      <c r="P11" s="63" t="n">
        <v>0.015</v>
      </c>
      <c r="Q11" s="63" t="n">
        <v>0.022</v>
      </c>
      <c r="R11" s="64">
        <f>IF(OR(P11="",Q11=""),"",SQRT(0.5*(P11^2+Q11^2)))</f>
        <v/>
      </c>
      <c r="S11" s="53">
        <f>IF(OR(P11="",Q11="",P11=0),"",Q11/P11)</f>
        <v/>
      </c>
      <c r="T11" s="34" t="inlineStr">
        <is>
          <t>Best blend measured: fill 0.99, essentially uniform. Targeted first try. Cost is 5985 us = ~18 px smear at 3000 px/s.  peak 218.0 (max 231), sat 0, blend pass, sig_v/sig_u 1.47</t>
        </is>
      </c>
      <c r="U11" s="31" t="n">
        <v>0.99</v>
      </c>
    </row>
    <row r="12">
      <c r="A12" s="25" t="inlineStr">
        <is>
          <t>Kingbright</t>
        </is>
      </c>
      <c r="B12" s="26" t="inlineStr">
        <is>
          <t>20 mm</t>
        </is>
      </c>
      <c r="C12" s="27" t="n">
        <v>1</v>
      </c>
      <c r="D12" s="61" t="n">
        <v>4</v>
      </c>
      <c r="E12" s="53" t="n">
        <v>38.2</v>
      </c>
      <c r="F12" s="29" t="n">
        <v>1096</v>
      </c>
      <c r="G12" s="29" t="n">
        <v>199.1</v>
      </c>
      <c r="H12" s="62" t="n">
        <v>0</v>
      </c>
      <c r="I12" s="29" t="n">
        <v>0</v>
      </c>
      <c r="J12" s="27">
        <f>IF(OR(F12="",G12="",G12=0),"",IF(H12&gt;0,"reduce light",ROUND(F12*210/G12/21.3,0)*21.3))</f>
        <v/>
      </c>
      <c r="K12" s="29" t="n">
        <v>683</v>
      </c>
      <c r="L12" s="29" t="n">
        <v>773</v>
      </c>
      <c r="M12" s="29" t="n">
        <v>1</v>
      </c>
      <c r="N12" s="31" t="n">
        <v>0.99</v>
      </c>
      <c r="O12" s="26">
        <f>IF(OR(M12="",N12="",U12=""),"",IF(AND(M12=1,N12&gt;=0.9,N12&lt;=1.1,U12&gt;=0.85),"pass","FAIL"))</f>
        <v/>
      </c>
      <c r="P12" s="63" t="n">
        <v>0.024</v>
      </c>
      <c r="Q12" s="63" t="n">
        <v>0.022</v>
      </c>
      <c r="R12" s="64">
        <f>IF(OR(P12="",Q12=""),"",SQRT(0.5*(P12^2+Q12^2)))</f>
        <v/>
      </c>
      <c r="S12" s="53">
        <f>IF(OR(P12="",Q12="",P12=0),"",Q12/P12)</f>
        <v/>
      </c>
      <c r="T12" s="34" t="inlineStr">
        <is>
          <t>Rings (fill 0.77) but less than Vishay. Measured 3x independently at 898/970/1096 us: sigma_RMS 0.0245 / 0.0234 / 0.0230, fill 0.73/0.74/0.77 - so run-to-run repeatability is ~3%, and differences under ~5% between builds are not significant.  peak 199.1 (max 215), sat 0, blend FAIL, sig_v/sig_u 0.92</t>
        </is>
      </c>
      <c r="U12" s="31" t="n">
        <v>0.77</v>
      </c>
    </row>
    <row r="13">
      <c r="A13" s="15" t="inlineStr">
        <is>
          <t>Vishay</t>
        </is>
      </c>
      <c r="B13" s="16" t="inlineStr">
        <is>
          <t>25 mm</t>
        </is>
      </c>
      <c r="C13" s="17" t="n">
        <v>1</v>
      </c>
      <c r="D13" s="56" t="n">
        <v>4</v>
      </c>
      <c r="E13" s="57" t="n">
        <v>78.8</v>
      </c>
      <c r="F13" s="19" t="n">
        <v>251</v>
      </c>
      <c r="G13" s="19" t="n">
        <v>209.5</v>
      </c>
      <c r="H13" s="58" t="n">
        <v>0</v>
      </c>
      <c r="I13" s="19" t="n">
        <v>0</v>
      </c>
      <c r="J13" s="17">
        <f>IF(OR(F13="",G13="",G13=0),"",IF(H13&gt;0,"reduce light",ROUND(F13*210/G13/21.3,0)*21.3))</f>
        <v/>
      </c>
      <c r="K13" s="19" t="n">
        <v>516</v>
      </c>
      <c r="L13" s="19" t="n">
        <v>662</v>
      </c>
      <c r="M13" s="19" t="n">
        <v>1</v>
      </c>
      <c r="N13" s="21" t="n">
        <v>1</v>
      </c>
      <c r="O13" s="16">
        <f>IF(OR(M13="",N13="",U13=""),"",IF(AND(M13=1,N13&gt;=0.9,N13&lt;=1.1,U13&gt;=0.85),"pass","FAIL"))</f>
        <v/>
      </c>
      <c r="P13" s="59" t="n">
        <v>0.0306</v>
      </c>
      <c r="Q13" s="59" t="n">
        <v>0.0358</v>
      </c>
      <c r="R13" s="60">
        <f>IF(OR(P13="",Q13=""),"",SQRT(0.5*(P13^2+Q13^2)))</f>
        <v/>
      </c>
      <c r="S13" s="57">
        <f>IF(OR(P13="",Q13="",P13=0),"",Q13/P13)</f>
        <v/>
      </c>
      <c r="T13" s="24" t="inlineStr">
        <is>
          <t>NOT BLENDING - still a ring (fill 0.69). The larger shell did NOT fix it, so the ring is the LED beam pattern, not the diameter. Needs less exposure and gives LESS area than the 20 mm, which is backwards - check the two caps are the same material, wall thickness and infill.  peak 209.5 (max 223), sat 0, blend FAIL, sig_v/sig_u 1.17</t>
        </is>
      </c>
      <c r="U13" s="21" t="n">
        <v>0.6899999999999999</v>
      </c>
    </row>
    <row r="14">
      <c r="A14" s="25" t="inlineStr">
        <is>
          <t>Everlight</t>
        </is>
      </c>
      <c r="B14" s="26" t="inlineStr">
        <is>
          <t>25 mm</t>
        </is>
      </c>
      <c r="C14" s="27" t="n">
        <v>1</v>
      </c>
      <c r="D14" s="61" t="n">
        <v>4</v>
      </c>
      <c r="E14" s="53" t="n">
        <v>38.2</v>
      </c>
      <c r="F14" s="29" t="n">
        <v>2983</v>
      </c>
      <c r="G14" s="29" t="n">
        <v>217.4</v>
      </c>
      <c r="H14" s="62" t="n">
        <v>0</v>
      </c>
      <c r="I14" s="29" t="n">
        <v>0</v>
      </c>
      <c r="J14" s="27">
        <f>IF(OR(F14="",G14="",G14=0),"",IF(H14&gt;0,"reduce light",ROUND(F14*210/G14/21.3,0)*21.3))</f>
        <v/>
      </c>
      <c r="K14" s="29" t="n">
        <v>845</v>
      </c>
      <c r="L14" s="29" t="n">
        <v>960</v>
      </c>
      <c r="M14" s="29" t="n">
        <v>1</v>
      </c>
      <c r="N14" s="31" t="n">
        <v>0.97</v>
      </c>
      <c r="O14" s="26">
        <f>IF(OR(M14="",N14="",U14=""),"",IF(AND(M14=1,N14&gt;=0.9,N14&lt;=1.1,U14&gt;=0.85),"pass","FAIL"))</f>
        <v/>
      </c>
      <c r="P14" s="63" t="n">
        <v>0.0176</v>
      </c>
      <c r="Q14" s="63" t="n">
        <v>0.0171</v>
      </c>
      <c r="R14" s="64">
        <f>IF(OR(P14="",Q14=""),"",SQRT(0.5*(P14^2+Q14^2)))</f>
        <v/>
      </c>
      <c r="S14" s="53">
        <f>IF(OR(P14="",Q14="",P14=0),"",Q14/P14)</f>
        <v/>
      </c>
      <c r="T14" s="34" t="inlineStr">
        <is>
          <t>Targeted first try.  peak 217.4 (max 233), sat 0, blend pass, sig_v/sig_u 0.97</t>
        </is>
      </c>
      <c r="U14" s="31" t="n"/>
    </row>
    <row r="15">
      <c r="A15" s="25" t="inlineStr">
        <is>
          <t>XL</t>
        </is>
      </c>
      <c r="B15" s="26" t="inlineStr">
        <is>
          <t>25 mm</t>
        </is>
      </c>
      <c r="C15" s="27" t="n">
        <v>1</v>
      </c>
      <c r="D15" s="61" t="n">
        <v>4</v>
      </c>
      <c r="E15" s="53" t="n">
        <v>21.7</v>
      </c>
      <c r="F15" s="29" t="n">
        <v>6057</v>
      </c>
      <c r="G15" s="29" t="n">
        <v>205.6</v>
      </c>
      <c r="H15" s="62" t="n">
        <v>0</v>
      </c>
      <c r="I15" s="29" t="n">
        <v>0</v>
      </c>
      <c r="J15" s="27">
        <f>IF(OR(F15="",G15="",G15=0),"",IF(H15&gt;0,"reduce light",ROUND(F15*210/G15/21.3,0)*21.3))</f>
        <v/>
      </c>
      <c r="K15" s="29" t="n">
        <v>874</v>
      </c>
      <c r="L15" s="29" t="n">
        <v>1002</v>
      </c>
      <c r="M15" s="29" t="n">
        <v>1</v>
      </c>
      <c r="N15" s="31" t="n">
        <v>1</v>
      </c>
      <c r="O15" s="26">
        <f>IF(OR(M15="",N15="",U15=""),"",IF(AND(M15=1,N15&gt;=0.9,N15&lt;=1.1,U15&gt;=0.85),"pass","FAIL"))</f>
        <v/>
      </c>
      <c r="P15" s="63" t="n">
        <v>0.0165</v>
      </c>
      <c r="Q15" s="63" t="n">
        <v>0.0157</v>
      </c>
      <c r="R15" s="64">
        <f>IF(OR(P15="",Q15=""),"",SQRT(0.5*(P15^2+Q15^2)))</f>
        <v/>
      </c>
      <c r="S15" s="53">
        <f>IF(OR(P15="",Q15="",P15=0),"",Q15/P15)</f>
        <v/>
      </c>
      <c r="T15" s="34" t="inlineStr">
        <is>
          <t>Best optics in the study: lowest sigma, largest area, fill 1.08 (centre slightly brighter than rim), isotropic. Cost is 6057 us = ~18 px smear at 3000 px/s.  peak 205.6 (max 225), sat 0, blend pass, sig_v/sig_u 0.95</t>
        </is>
      </c>
      <c r="U15" s="31" t="n">
        <v>1.08</v>
      </c>
    </row>
    <row r="16">
      <c r="A16" s="25" t="inlineStr">
        <is>
          <t>Kingbright</t>
        </is>
      </c>
      <c r="B16" s="26" t="inlineStr">
        <is>
          <t>25 mm</t>
        </is>
      </c>
      <c r="C16" s="27" t="n">
        <v>1</v>
      </c>
      <c r="D16" s="61" t="n">
        <v>4</v>
      </c>
      <c r="E16" s="53" t="n">
        <v>38.2</v>
      </c>
      <c r="F16" s="29" t="n">
        <v>1186</v>
      </c>
      <c r="G16" s="29" t="n">
        <v>210.4</v>
      </c>
      <c r="H16" s="62" t="n">
        <v>0</v>
      </c>
      <c r="I16" s="29" t="n">
        <v>0</v>
      </c>
      <c r="J16" s="27">
        <f>IF(OR(F16="",G16="",G16=0),"",IF(H16&gt;0,"reduce light",ROUND(F16*210/G16/21.3,0)*21.3))</f>
        <v/>
      </c>
      <c r="K16" s="29" t="n">
        <v>727</v>
      </c>
      <c r="L16" s="29" t="n">
        <v>818</v>
      </c>
      <c r="M16" s="29" t="n">
        <v>1</v>
      </c>
      <c r="N16" s="31" t="n">
        <v>1</v>
      </c>
      <c r="O16" s="26">
        <f>IF(OR(M16="",N16="",U16=""),"",IF(AND(M16=1,N16&gt;=0.9,N16&lt;=1.1,U16&gt;=0.85),"pass","FAIL"))</f>
        <v/>
      </c>
      <c r="P16" s="63" t="n">
        <v>0.015</v>
      </c>
      <c r="Q16" s="63" t="n">
        <v>0.0173</v>
      </c>
      <c r="R16" s="64">
        <f>IF(OR(P16="",Q16=""),"",SQRT(0.5*(P16^2+Q16^2)))</f>
        <v/>
      </c>
      <c r="S16" s="53">
        <f>IF(OR(P16="",Q16="",P16=0),"",Q16/P16)</f>
        <v/>
      </c>
      <c r="T16" s="34" t="inlineStr">
        <is>
          <t>Strongest overall candidate: sigma tied with XL 25 mm for best in the study but at 1186 us instead of 6057 - 5x less smear. Fill 0.82 just misses the 0.85 gate; diameter helped here (0.77 -&gt; 0.82) unlike on Vishay.  peak 210.4 (max 240), sat 0, blend FAIL, sig_v/sig_u 1.15</t>
        </is>
      </c>
      <c r="U16" s="31" t="n">
        <v>0.82</v>
      </c>
    </row>
  </sheetData>
  <pageMargins left="0.75" right="0.75" top="1" bottom="1" header="0.5" footer="0.5"/>
</worksheet>
</file>

<file path=xl/worksheets/sheet5.xml><?xml version="1.0" encoding="utf-8"?>
<worksheet xmlns="http://schemas.openxmlformats.org/spreadsheetml/2006/main">
  <sheetPr>
    <tabColor rgb="FF1F3864"/>
    <outlinePr summaryBelow="1" summaryRight="1"/>
    <pageSetUpPr/>
  </sheetPr>
  <dimension ref="A1:R27"/>
  <sheetViews>
    <sheetView showGridLines="0" workbookViewId="0">
      <pane ySplit="4" topLeftCell="A5" activePane="bottomLeft" state="frozen"/>
      <selection pane="bottomLeft" activeCell="A1" sqref="A1"/>
    </sheetView>
  </sheetViews>
  <sheetFormatPr baseColWidth="8" defaultRowHeight="15"/>
  <cols>
    <col width="12" customWidth="1" min="1" max="1"/>
    <col width="7" customWidth="1" min="2" max="2"/>
    <col width="7" customWidth="1" min="3" max="3"/>
    <col width="10" customWidth="1" min="4" max="4"/>
    <col width="8" customWidth="1" min="5" max="5"/>
    <col width="12" customWidth="1" min="6" max="6"/>
    <col width="8" customWidth="1" min="7" max="7"/>
    <col width="7" customWidth="1" min="8" max="8"/>
    <col width="7" customWidth="1" min="9" max="9"/>
    <col width="7" customWidth="1" min="10" max="10"/>
    <col width="8" customWidth="1" min="11" max="11"/>
    <col width="11" customWidth="1" min="12" max="12"/>
    <col width="11" customWidth="1" min="13" max="13"/>
    <col width="12" customWidth="1" min="14" max="14"/>
    <col width="10" customWidth="1" min="15" max="15"/>
    <col width="9" customWidth="1" min="16" max="16"/>
    <col width="9" customWidth="1" min="17" max="17"/>
    <col width="34" customWidth="1" min="18" max="18"/>
  </cols>
  <sheetData>
    <row r="1">
      <c r="A1" s="65" t="inlineStr">
        <is>
          <t>TEST B - Isotropy: head-on (0 deg) vs upright (90 deg)</t>
        </is>
      </c>
    </row>
    <row r="2">
      <c r="A2" s="66" t="inlineStr">
        <is>
          <t>The LEDs sit on a flat PCB, so 0 deg looks down the emission axis and 90 deg views it from the side - the extreme of beam angle. A spherical diffuser should make the marker look the SAME from both. The 90/0 ratios are the test: near 1.00 = isotropic. Add 45 deg ONLY if 0 and 90 diverge. 25 mm builds only; marker is moved, camera is NOT - rotating the camera changes framing, background and focus distance all at once.</t>
        </is>
      </c>
    </row>
    <row r="4" ht="32" customHeight="1">
      <c r="A4" s="77" t="inlineStr">
        <is>
          <t>LED Type</t>
        </is>
      </c>
      <c r="B4" s="77" t="inlineStr">
        <is>
          <t>Wall
(mm)</t>
        </is>
      </c>
      <c r="C4" s="77" t="inlineStr">
        <is>
          <t>Angle
(deg)</t>
        </is>
      </c>
      <c r="D4" s="77" t="inlineStr">
        <is>
          <t>Exposure
(us)</t>
        </is>
      </c>
      <c r="E4" s="77" t="inlineStr">
        <is>
          <t>Peak</t>
        </is>
      </c>
      <c r="F4" s="77" t="inlineStr">
        <is>
          <t>Sensor area
(px)</t>
        </is>
      </c>
      <c r="G4" s="77" t="inlineStr">
        <is>
          <t>npix</t>
        </is>
      </c>
      <c r="H4" s="77" t="inlineStr">
        <is>
          <t>blobs</t>
        </is>
      </c>
      <c r="I4" s="77" t="inlineStr">
        <is>
          <t>w/h</t>
        </is>
      </c>
      <c r="J4" s="77" t="inlineStr">
        <is>
          <t>Fill</t>
        </is>
      </c>
      <c r="K4" s="77" t="inlineStr">
        <is>
          <t>Lobe</t>
        </is>
      </c>
      <c r="L4" s="77" t="inlineStr">
        <is>
          <t>sigma_u
(px)</t>
        </is>
      </c>
      <c r="M4" s="77" t="inlineStr">
        <is>
          <t>sigma_v
(px)</t>
        </is>
      </c>
      <c r="N4" s="77" t="inlineStr">
        <is>
          <t>sigma_RMS
(px)</t>
        </is>
      </c>
      <c r="O4" s="77" t="inlineStr">
        <is>
          <t>Exposure
90/0</t>
        </is>
      </c>
      <c r="P4" s="77" t="inlineStr">
        <is>
          <t>Area
90/0</t>
        </is>
      </c>
      <c r="Q4" s="77" t="inlineStr">
        <is>
          <t>Fill
90/0</t>
        </is>
      </c>
      <c r="R4" s="77" t="inlineStr">
        <is>
          <t>Notes</t>
        </is>
      </c>
    </row>
    <row r="5">
      <c r="A5" s="128" t="inlineStr">
        <is>
          <t>Vishay</t>
        </is>
      </c>
      <c r="B5" s="101" t="n">
        <v>0.2</v>
      </c>
      <c r="C5" s="100" t="n">
        <v>0</v>
      </c>
      <c r="D5" s="129" t="n">
        <v>485</v>
      </c>
      <c r="E5" s="129" t="n">
        <v>211.1</v>
      </c>
      <c r="F5" s="129" t="n">
        <v>703</v>
      </c>
      <c r="G5" s="129" t="n">
        <v>794</v>
      </c>
      <c r="H5" s="129" t="n">
        <v>1</v>
      </c>
      <c r="I5" s="130" t="n">
        <v>1</v>
      </c>
      <c r="J5" s="130" t="n">
        <v>0.7</v>
      </c>
      <c r="K5" s="131" t="n">
        <v>0.08400000000000001</v>
      </c>
      <c r="L5" s="132" t="n">
        <v>0.0251</v>
      </c>
      <c r="M5" s="132" t="n">
        <v>0.0336</v>
      </c>
      <c r="N5" s="107">
        <f>IF(OR(L5="",M5=""),"",SQRT(0.5*(L5^2+M5^2)))</f>
        <v/>
      </c>
      <c r="O5" s="108" t="n"/>
      <c r="P5" s="108" t="n"/>
      <c r="Q5" s="108" t="n"/>
      <c r="R5" s="110" t="inlineStr">
        <is>
          <t>cap 1, head-on baseline for the thin-wall Vishay.</t>
        </is>
      </c>
    </row>
    <row r="6">
      <c r="A6" s="133" t="inlineStr">
        <is>
          <t>Vishay</t>
        </is>
      </c>
      <c r="B6" s="86" t="n">
        <v>0.2</v>
      </c>
      <c r="C6" s="85" t="n">
        <v>90</v>
      </c>
      <c r="D6" s="74" t="n">
        <v>6183</v>
      </c>
      <c r="E6" s="74" t="n">
        <v>204.5</v>
      </c>
      <c r="F6" s="74" t="n">
        <v>1018</v>
      </c>
      <c r="G6" s="74" t="n">
        <v>1129</v>
      </c>
      <c r="H6" s="74" t="n">
        <v>1</v>
      </c>
      <c r="I6" s="79" t="n">
        <v>0.97</v>
      </c>
      <c r="J6" s="79" t="n">
        <v>1.04</v>
      </c>
      <c r="K6" s="126" t="n">
        <v>0.063</v>
      </c>
      <c r="L6" s="83" t="n">
        <v>0.0193</v>
      </c>
      <c r="M6" s="83" t="n">
        <v>0.0167</v>
      </c>
      <c r="N6" s="84">
        <f>IF(OR(L6="",M6=""),"",SQRT(0.5*(L6^2+M6^2)))</f>
        <v/>
      </c>
      <c r="O6" s="75">
        <f>IF(OR(D6="",D5=""),"",D6/D5)</f>
        <v/>
      </c>
      <c r="P6" s="75">
        <f>IF(OR(F6="",F5=""),"",F6/F5)</f>
        <v/>
      </c>
      <c r="Q6" s="75">
        <f>IF(OR(J6="",J5=""),"",J6/J5)</f>
        <v/>
      </c>
      <c r="R6" s="81" t="inlineStr">
        <is>
          <t>12.7x anisotropy - WORSE than the 0.4mm wall's 8.8x, as predicted. Thickness buys isotropy (31% less anisotropic) even though it barely moved fill or sigma at 25 mm. That is a new and better reason to prefer the thicker shell.</t>
        </is>
      </c>
    </row>
    <row r="7">
      <c r="A7" s="133" t="inlineStr">
        <is>
          <t>Vishay</t>
        </is>
      </c>
      <c r="B7" s="86" t="n">
        <v>0.4</v>
      </c>
      <c r="C7" s="85" t="n">
        <v>0</v>
      </c>
      <c r="D7" s="74" t="n">
        <v>557</v>
      </c>
      <c r="E7" s="74" t="n">
        <v>203.5</v>
      </c>
      <c r="F7" s="74" t="n">
        <v>742</v>
      </c>
      <c r="G7" s="74" t="n">
        <v>838</v>
      </c>
      <c r="H7" s="74" t="n">
        <v>1</v>
      </c>
      <c r="I7" s="79" t="n">
        <v>1.03</v>
      </c>
      <c r="J7" s="79" t="n">
        <v>0.73</v>
      </c>
      <c r="K7" s="126" t="n">
        <v>0.076</v>
      </c>
      <c r="L7" s="83" t="n">
        <v>0.0248</v>
      </c>
      <c r="M7" s="83" t="n">
        <v>0.0219</v>
      </c>
      <c r="N7" s="84">
        <f>IF(OR(L7="",M7=""),"",SQRT(0.5*(L7^2+M7^2)))</f>
        <v/>
      </c>
      <c r="O7" s="75" t="n"/>
      <c r="P7" s="75" t="n"/>
      <c r="Q7" s="75" t="n"/>
      <c r="R7" s="81" t="inlineStr">
        <is>
          <t>cap 1, head-on baseline. Consistent with the 4-cap mean (602us, area 751, fill 0.74, sigma 0.0240) - all inside the measured spread.</t>
        </is>
      </c>
    </row>
    <row r="8">
      <c r="A8" s="133" t="inlineStr">
        <is>
          <t>Vishay</t>
        </is>
      </c>
      <c r="B8" s="86" t="n">
        <v>0.4</v>
      </c>
      <c r="C8" s="85" t="n">
        <v>90</v>
      </c>
      <c r="D8" s="74" t="n">
        <v>4925</v>
      </c>
      <c r="E8" s="74" t="n">
        <v>199.7</v>
      </c>
      <c r="F8" s="74" t="n">
        <v>978</v>
      </c>
      <c r="G8" s="74" t="n">
        <v>1097</v>
      </c>
      <c r="H8" s="74" t="n">
        <v>1</v>
      </c>
      <c r="I8" s="79" t="n">
        <v>0.96</v>
      </c>
      <c r="J8" s="79" t="n">
        <v>1.02</v>
      </c>
      <c r="K8" s="126" t="n">
        <v>0.065</v>
      </c>
      <c r="L8" s="83" t="n">
        <v>0.0198</v>
      </c>
      <c r="M8" s="83" t="n">
        <v>0.017</v>
      </c>
      <c r="N8" s="84">
        <f>IF(OR(L8="",M8=""),"",SQRT(0.5*(L8^2+M8^2)))</f>
        <v/>
      </c>
      <c r="O8" s="75">
        <f>IF(OR(D8="",D7=""),"",D8/D7)</f>
        <v/>
      </c>
      <c r="P8" s="75">
        <f>IF(OR(F8="",F7=""),"",F8/F7)</f>
        <v/>
      </c>
      <c r="Q8" s="75">
        <f>IF(OR(J8="",J7=""),"",J8/J7)</f>
        <v/>
      </c>
      <c r="R8" s="81" t="inlineStr">
        <is>
          <t>8.8x MORE EXPOSURE than head-on. Optically better from the side (fill 0.73-&gt;1.02, area +32%, sigma 0.0234-&gt;0.0185) because you see the shell wall lit at grazing incidence rather than the LEDs' direct beams - but 8.8x exceeds the ~3x dynamic range between THRESH_LO and saturation, so no fixed exposure covers both views.</t>
        </is>
      </c>
    </row>
    <row r="9">
      <c r="A9" s="128" t="inlineStr">
        <is>
          <t>Kingbright</t>
        </is>
      </c>
      <c r="B9" s="101" t="n">
        <v>0.2</v>
      </c>
      <c r="C9" s="100" t="n">
        <v>0</v>
      </c>
      <c r="D9" s="129" t="n">
        <v>952</v>
      </c>
      <c r="E9" s="129" t="n">
        <v>213.5</v>
      </c>
      <c r="F9" s="129" t="n">
        <v>676</v>
      </c>
      <c r="G9" s="129" t="n">
        <v>762</v>
      </c>
      <c r="H9" s="129" t="n">
        <v>1</v>
      </c>
      <c r="I9" s="130" t="n">
        <v>1.02</v>
      </c>
      <c r="J9" s="130" t="n">
        <v>0.65</v>
      </c>
      <c r="K9" s="131" t="n">
        <v>0.067</v>
      </c>
      <c r="L9" s="132" t="n">
        <v>0.0248</v>
      </c>
      <c r="M9" s="132" t="n">
        <v>0.0255</v>
      </c>
      <c r="N9" s="107">
        <f>IF(OR(L9="",M9=""),"",SQRT(0.5*(L9^2+M9^2)))</f>
        <v/>
      </c>
      <c r="O9" s="108" t="n"/>
      <c r="P9" s="108" t="n"/>
      <c r="Q9" s="108" t="n"/>
      <c r="R9" s="110" t="inlineStr">
        <is>
          <t>cap 1, head-on baseline. THT part - stands proud of the board, unlike the flat SMD emitters.</t>
        </is>
      </c>
    </row>
    <row r="10">
      <c r="A10" s="133" t="inlineStr">
        <is>
          <t>Kingbright</t>
        </is>
      </c>
      <c r="B10" s="86" t="n">
        <v>0.2</v>
      </c>
      <c r="C10" s="85" t="n">
        <v>90</v>
      </c>
      <c r="D10" s="74" t="n">
        <v>18801</v>
      </c>
      <c r="E10" s="74" t="n">
        <v>206.8</v>
      </c>
      <c r="F10" s="74" t="n">
        <v>893</v>
      </c>
      <c r="G10" s="74" t="n">
        <v>1008</v>
      </c>
      <c r="H10" s="74" t="n">
        <v>1</v>
      </c>
      <c r="I10" s="79" t="n">
        <v>0.97</v>
      </c>
      <c r="J10" s="79" t="n">
        <v>0.9399999999999999</v>
      </c>
      <c r="K10" s="126" t="n">
        <v>0.062</v>
      </c>
      <c r="L10" s="83" t="n">
        <v>0.016</v>
      </c>
      <c r="M10" s="83" t="n">
        <v>0.0209</v>
      </c>
      <c r="N10" s="84">
        <f>IF(OR(L10="",M10=""),"",SQRT(0.5*(L10^2+M10^2)))</f>
        <v/>
      </c>
      <c r="O10" s="75">
        <f>IF(OR(D10="",D9=""),"",D10/D9)</f>
        <v/>
      </c>
      <c r="P10" s="75">
        <f>IF(OR(F10="",F9=""),"",F10/F9)</f>
        <v/>
      </c>
      <c r="Q10" s="75">
        <f>IF(OR(J10="",J9=""),"",J10/J9)</f>
        <v/>
      </c>
      <c r="R10" s="81" t="inlineStr">
        <is>
          <t>19.7x - the WORST anisotropy of the study, worse even than Vishay. The THT domed lens concentrates light forward by design, so it illuminates the shell over the smallest solid angle of any part here. Standoff from being through-hole does not compensate.</t>
        </is>
      </c>
    </row>
    <row r="11">
      <c r="A11" s="133" t="inlineStr">
        <is>
          <t>Kingbright</t>
        </is>
      </c>
      <c r="B11" s="86" t="n">
        <v>0.4</v>
      </c>
      <c r="C11" s="85" t="n">
        <v>0</v>
      </c>
      <c r="D11" s="74" t="n"/>
      <c r="E11" s="74" t="n"/>
      <c r="F11" s="74" t="n"/>
      <c r="G11" s="74" t="n"/>
      <c r="H11" s="74" t="n"/>
      <c r="I11" s="79" t="n"/>
      <c r="J11" s="79" t="n"/>
      <c r="K11" s="126" t="n"/>
      <c r="L11" s="83" t="n"/>
      <c r="M11" s="83" t="n"/>
      <c r="N11" s="84">
        <f>IF(OR(L11="",M11=""),"",SQRT(0.5*(L11^2+M11^2)))</f>
        <v/>
      </c>
      <c r="O11" s="75" t="n"/>
      <c r="P11" s="75" t="n"/>
      <c r="Q11" s="75" t="n"/>
      <c r="R11" s="81" t="n"/>
    </row>
    <row r="12">
      <c r="A12" s="133" t="inlineStr">
        <is>
          <t>Kingbright</t>
        </is>
      </c>
      <c r="B12" s="86" t="n">
        <v>0.4</v>
      </c>
      <c r="C12" s="85" t="n">
        <v>90</v>
      </c>
      <c r="D12" s="74" t="n"/>
      <c r="E12" s="74" t="n"/>
      <c r="F12" s="74" t="n"/>
      <c r="G12" s="74" t="n"/>
      <c r="H12" s="74" t="n"/>
      <c r="I12" s="79" t="n"/>
      <c r="J12" s="79" t="n"/>
      <c r="K12" s="126" t="n"/>
      <c r="L12" s="83" t="n"/>
      <c r="M12" s="83" t="n"/>
      <c r="N12" s="84">
        <f>IF(OR(L12="",M12=""),"",SQRT(0.5*(L12^2+M12^2)))</f>
        <v/>
      </c>
      <c r="O12" s="75">
        <f>IF(OR(D12="",D11=""),"",D12/D11)</f>
        <v/>
      </c>
      <c r="P12" s="75">
        <f>IF(OR(F12="",F11=""),"",F12/F11)</f>
        <v/>
      </c>
      <c r="Q12" s="75">
        <f>IF(OR(J12="",J11=""),"",J12/J11)</f>
        <v/>
      </c>
      <c r="R12" s="81" t="n"/>
    </row>
    <row r="13">
      <c r="A13" s="128" t="inlineStr">
        <is>
          <t>Everlight</t>
        </is>
      </c>
      <c r="B13" s="101" t="n">
        <v>0.2</v>
      </c>
      <c r="C13" s="100" t="n">
        <v>0</v>
      </c>
      <c r="D13" s="129" t="n">
        <v>3469</v>
      </c>
      <c r="E13" s="129" t="n">
        <v>214</v>
      </c>
      <c r="F13" s="129" t="n">
        <v>888</v>
      </c>
      <c r="G13" s="129" t="n">
        <v>1004</v>
      </c>
      <c r="H13" s="129" t="n">
        <v>1</v>
      </c>
      <c r="I13" s="130" t="n">
        <v>0.99</v>
      </c>
      <c r="J13" s="130" t="n">
        <v>0.92</v>
      </c>
      <c r="K13" s="131" t="n">
        <v>0.056</v>
      </c>
      <c r="L13" s="132" t="n">
        <v>0.018</v>
      </c>
      <c r="M13" s="132" t="n">
        <v>0.0219</v>
      </c>
      <c r="N13" s="107">
        <f>IF(OR(L13="",M13=""),"",SQRT(0.5*(L13^2+M13^2)))</f>
        <v/>
      </c>
      <c r="O13" s="108" t="n"/>
      <c r="P13" s="108" t="n"/>
      <c r="Q13" s="108" t="n"/>
      <c r="R13" s="110" t="inlineStr">
        <is>
          <t>cap 1, head-on baseline. Reproduces the run-4 row exactly (3469us, area 883, fill 0.92).</t>
        </is>
      </c>
    </row>
    <row r="14">
      <c r="A14" s="133" t="inlineStr">
        <is>
          <t>Everlight</t>
        </is>
      </c>
      <c r="B14" s="86" t="n">
        <v>0.2</v>
      </c>
      <c r="C14" s="85" t="n">
        <v>90</v>
      </c>
      <c r="D14" s="74" t="n">
        <v>12780</v>
      </c>
      <c r="E14" s="74" t="n">
        <v>206.9</v>
      </c>
      <c r="F14" s="74" t="n">
        <v>987</v>
      </c>
      <c r="G14" s="74" t="n">
        <v>1093</v>
      </c>
      <c r="H14" s="74" t="n">
        <v>1</v>
      </c>
      <c r="I14" s="79" t="n">
        <v>1</v>
      </c>
      <c r="J14" s="79" t="n">
        <v>1.02</v>
      </c>
      <c r="K14" s="126" t="n">
        <v>0.056</v>
      </c>
      <c r="L14" s="83" t="n">
        <v>0.0194</v>
      </c>
      <c r="M14" s="83" t="n">
        <v>0.0147</v>
      </c>
      <c r="N14" s="84">
        <f>IF(OR(L14="",M14=""),"",SQRT(0.5*(L14^2+M14^2)))</f>
        <v/>
      </c>
      <c r="O14" s="75">
        <f>IF(OR(D14="",D13=""),"",D14/D13)</f>
        <v/>
      </c>
      <c r="P14" s="75">
        <f>IF(OR(F14="",F13=""),"",F14/F13)</f>
        <v/>
      </c>
      <c r="Q14" s="75">
        <f>IF(OR(J14="",J13=""),"",J14/J13)</f>
        <v/>
      </c>
      <c r="R14" s="81" t="inlineStr">
        <is>
          <t>3.68x anisotropy - just OVER the 3.1x budget at THRESH_LO 80. Viable only if THRESH_LO drops to ~50, which trades against blob merging.</t>
        </is>
      </c>
    </row>
    <row r="15">
      <c r="A15" s="133" t="inlineStr">
        <is>
          <t>Everlight</t>
        </is>
      </c>
      <c r="B15" s="86" t="n">
        <v>0.4</v>
      </c>
      <c r="C15" s="85" t="n">
        <v>0</v>
      </c>
      <c r="D15" s="74" t="n">
        <v>3756</v>
      </c>
      <c r="E15" s="74" t="n">
        <v>212.4</v>
      </c>
      <c r="F15" s="74" t="n">
        <v>910</v>
      </c>
      <c r="G15" s="74" t="n">
        <v>1020</v>
      </c>
      <c r="H15" s="74" t="n">
        <v>1</v>
      </c>
      <c r="I15" s="79" t="n">
        <v>1.01</v>
      </c>
      <c r="J15" s="79" t="n">
        <v>0.9399999999999999</v>
      </c>
      <c r="K15" s="126" t="n">
        <v>0.058</v>
      </c>
      <c r="L15" s="83" t="n">
        <v>0.0157</v>
      </c>
      <c r="M15" s="83" t="n">
        <v>0.0198</v>
      </c>
      <c r="N15" s="84">
        <f>IF(OR(L15="",M15=""),"",SQRT(0.5*(L15^2+M15^2)))</f>
        <v/>
      </c>
      <c r="O15" s="75" t="n"/>
      <c r="P15" s="75" t="n"/>
      <c r="Q15" s="75" t="n"/>
      <c r="R15" s="81" t="inlineStr">
        <is>
          <t>cap 1, head-on baseline. Reproduces the run-4 row exactly (3756us, area 910, fill 0.94).</t>
        </is>
      </c>
    </row>
    <row r="16">
      <c r="A16" s="133" t="inlineStr">
        <is>
          <t>Everlight</t>
        </is>
      </c>
      <c r="B16" s="86" t="n">
        <v>0.4</v>
      </c>
      <c r="C16" s="85" t="n">
        <v>90</v>
      </c>
      <c r="D16" s="74" t="n">
        <v>12366</v>
      </c>
      <c r="E16" s="74" t="n">
        <v>205.2</v>
      </c>
      <c r="F16" s="74" t="n">
        <v>991</v>
      </c>
      <c r="G16" s="74" t="n">
        <v>1105</v>
      </c>
      <c r="H16" s="74" t="n">
        <v>1</v>
      </c>
      <c r="I16" s="79" t="n">
        <v>1.02</v>
      </c>
      <c r="J16" s="79" t="n">
        <v>1.03</v>
      </c>
      <c r="K16" s="126" t="n">
        <v>0.054</v>
      </c>
      <c r="L16" s="83" t="n">
        <v>0.0202</v>
      </c>
      <c r="M16" s="83" t="n">
        <v>0.0266</v>
      </c>
      <c r="N16" s="84">
        <f>IF(OR(L16="",M16=""),"",SQRT(0.5*(L16^2+M16^2)))</f>
        <v/>
      </c>
      <c r="O16" s="75">
        <f>IF(OR(D16="",D15=""),"",D16/D15)</f>
        <v/>
      </c>
      <c r="P16" s="75">
        <f>IF(OR(F16="",F15=""),"",F16/F15)</f>
        <v/>
      </c>
      <c r="Q16" s="75">
        <f>IF(OR(J16="",J15=""),"",J16/J15)</f>
        <v/>
      </c>
      <c r="R16" s="81" t="inlineStr">
        <is>
          <t>3.29x - thickness improved it 11% (3.68-&gt;3.29) but still over budget. Needs head-on peak 263 at THRESH_LO 80, above saturation. Viable only at TL&lt;=70 and with almost no exposure margin, which the 20% cap-to-cap spread would eat.</t>
        </is>
      </c>
    </row>
    <row r="17">
      <c r="A17" s="128" t="inlineStr">
        <is>
          <t>XL</t>
        </is>
      </c>
      <c r="B17" s="101" t="n">
        <v>0.2</v>
      </c>
      <c r="C17" s="100" t="n">
        <v>0</v>
      </c>
      <c r="D17" s="129" t="n">
        <v>8520</v>
      </c>
      <c r="E17" s="129" t="n">
        <v>210.5</v>
      </c>
      <c r="F17" s="129" t="n">
        <v>952</v>
      </c>
      <c r="G17" s="129" t="n">
        <v>1068</v>
      </c>
      <c r="H17" s="129" t="n">
        <v>1</v>
      </c>
      <c r="I17" s="130" t="n">
        <v>1</v>
      </c>
      <c r="J17" s="130" t="n">
        <v>1.03</v>
      </c>
      <c r="K17" s="131" t="n">
        <v>0.056</v>
      </c>
      <c r="L17" s="132" t="n">
        <v>0.0169</v>
      </c>
      <c r="M17" s="132" t="n">
        <v>0.0305</v>
      </c>
      <c r="N17" s="107">
        <f>IF(OR(L17="",M17=""),"",SQRT(0.5*(L17^2+M17^2)))</f>
        <v/>
      </c>
      <c r="O17" s="108" t="n"/>
      <c r="P17" s="108" t="n"/>
      <c r="Q17" s="108" t="n"/>
      <c r="R17" s="110" t="inlineStr">
        <is>
          <t>cap 1, head-on baseline. Matches the run-4 row (8196us, area 954, fill 1.00) within cap spread.</t>
        </is>
      </c>
    </row>
    <row r="18">
      <c r="A18" s="133" t="inlineStr">
        <is>
          <t>XL</t>
        </is>
      </c>
      <c r="B18" s="86" t="n">
        <v>0.2</v>
      </c>
      <c r="C18" s="85" t="n">
        <v>90</v>
      </c>
      <c r="D18" s="74" t="n">
        <v>16033</v>
      </c>
      <c r="E18" s="74" t="n">
        <v>206.8</v>
      </c>
      <c r="F18" s="74" t="n">
        <v>950</v>
      </c>
      <c r="G18" s="74" t="n">
        <v>1063</v>
      </c>
      <c r="H18" s="74" t="n">
        <v>1</v>
      </c>
      <c r="I18" s="79" t="n">
        <v>1.03</v>
      </c>
      <c r="J18" s="79" t="n">
        <v>0.99</v>
      </c>
      <c r="K18" s="126" t="n">
        <v>0.062</v>
      </c>
      <c r="L18" s="83" t="n">
        <v>0.0213</v>
      </c>
      <c r="M18" s="83" t="n">
        <v>0.0227</v>
      </c>
      <c r="N18" s="84">
        <f>IF(OR(L18="",M18=""),"",SQRT(0.5*(L18^2+M18^2)))</f>
        <v/>
      </c>
      <c r="O18" s="75">
        <f>IF(OR(D18="",D17=""),"",D18/D17)</f>
        <v/>
      </c>
      <c r="P18" s="75">
        <f>IF(OR(F18="",F17=""),"",F18/F17)</f>
        <v/>
      </c>
      <c r="Q18" s="75">
        <f>IF(OR(J18="",J17=""),"",J18/J17)</f>
        <v/>
      </c>
      <c r="R18" s="81" t="inlineStr">
        <is>
          <t>ONLY 1.88x anisotropy - inside the ~3.1x fixed-exposure budget, where Vishay needed 8.8-12.7x. Area 950 vs 952 and fill 0.99 vs 1.03: XL presents the SAME size and blend from both directions, just 1.88x dimmer. This is the only marker so far that can be tracked at a fixed exposure.</t>
        </is>
      </c>
    </row>
    <row r="19">
      <c r="A19" s="133" t="inlineStr">
        <is>
          <t>XL</t>
        </is>
      </c>
      <c r="B19" s="86" t="n">
        <v>0.4</v>
      </c>
      <c r="C19" s="85" t="n">
        <v>0</v>
      </c>
      <c r="D19" s="74" t="n"/>
      <c r="E19" s="74" t="n"/>
      <c r="F19" s="74" t="n"/>
      <c r="G19" s="74" t="n"/>
      <c r="H19" s="74" t="n"/>
      <c r="I19" s="79" t="n"/>
      <c r="J19" s="79" t="n"/>
      <c r="K19" s="126" t="n"/>
      <c r="L19" s="83" t="n"/>
      <c r="M19" s="83" t="n"/>
      <c r="N19" s="84">
        <f>IF(OR(L19="",M19=""),"",SQRT(0.5*(L19^2+M19^2)))</f>
        <v/>
      </c>
      <c r="O19" s="75" t="n"/>
      <c r="P19" s="75" t="n"/>
      <c r="Q19" s="75" t="n"/>
      <c r="R19" s="81" t="n"/>
    </row>
    <row r="20">
      <c r="A20" s="133" t="inlineStr">
        <is>
          <t>XL</t>
        </is>
      </c>
      <c r="B20" s="86" t="n">
        <v>0.4</v>
      </c>
      <c r="C20" s="85" t="n">
        <v>90</v>
      </c>
      <c r="D20" s="74" t="n"/>
      <c r="E20" s="74" t="n"/>
      <c r="F20" s="74" t="n"/>
      <c r="G20" s="74" t="n"/>
      <c r="H20" s="74" t="n"/>
      <c r="I20" s="79" t="n"/>
      <c r="J20" s="79" t="n"/>
      <c r="K20" s="126" t="n"/>
      <c r="L20" s="83" t="n"/>
      <c r="M20" s="83" t="n"/>
      <c r="N20" s="84">
        <f>IF(OR(L20="",M20=""),"",SQRT(0.5*(L20^2+M20^2)))</f>
        <v/>
      </c>
      <c r="O20" s="75">
        <f>IF(OR(D20="",D19=""),"",D20/D19)</f>
        <v/>
      </c>
      <c r="P20" s="75">
        <f>IF(OR(F20="",F19=""),"",F20/F19)</f>
        <v/>
      </c>
      <c r="Q20" s="75">
        <f>IF(OR(J20="",J19=""),"",J20/J19)</f>
        <v/>
      </c>
      <c r="R20" s="81" t="n"/>
    </row>
    <row r="22">
      <c r="A22" s="76" t="inlineStr">
        <is>
          <t>HOW TO READ THIS</t>
        </is>
      </c>
    </row>
    <row r="23">
      <c r="A23" s="91" t="inlineStr">
        <is>
          <t>The 90/0 ratios are the whole test. Exposure 90/0 near 1.00 means the marker is as bright from the side as head-on; area 90/0 near 1.00 means it presents the same size; fill 90/0 near 1.00 means it blends as well. A sphere that works should give all three near unity REGARDLESS of the LED inside it.</t>
        </is>
      </c>
    </row>
    <row r="24">
      <c r="A24" s="91" t="inlineStr">
        <is>
          <t>Expect the ordering to track beam angle if the diffuser is NOT doing its job: Vishay (narrowest) worst, XL (widest) best. If that ordering does NOT appear, the sphere has succeeded in making beam angle irrelevant - which is the result you want.</t>
        </is>
      </c>
    </row>
    <row r="25">
      <c r="A25" s="91" t="inlineStr">
        <is>
          <t>At 90 deg the PCB and mount come into view and the open base of the shell may show. Watch lobe and w/h for asymmetry that is the MOUNT rather than the marker.</t>
        </is>
      </c>
    </row>
    <row r="26">
      <c r="A26" s="91" t="inlineStr">
        <is>
          <t>Add 45 deg only if 0 and 90 diverge. If the two extremes agree, nothing interesting happens between them.</t>
        </is>
      </c>
    </row>
    <row r="27">
      <c r="A27" s="91" t="inlineStr">
        <is>
          <t>Re-target the exposure at every angle - a dimmer 90 deg view needs more exposure, and rows are only comparable at matched peak (205-215).</t>
        </is>
      </c>
    </row>
  </sheetData>
  <pageMargins left="0.75" right="0.75" top="1" bottom="1" header="0.5" footer="0.5"/>
</worksheet>
</file>

<file path=xl/worksheets/sheet6.xml><?xml version="1.0" encoding="utf-8"?>
<worksheet xmlns="http://schemas.openxmlformats.org/spreadsheetml/2006/main">
  <sheetPr>
    <tabColor rgb="FF1F3864"/>
    <outlinePr summaryBelow="1" summaryRight="1"/>
    <pageSetUpPr/>
  </sheetPr>
  <dimension ref="A1:S66"/>
  <sheetViews>
    <sheetView showGridLines="0" workbookViewId="0">
      <pane ySplit="6" topLeftCell="A7" activePane="bottomLeft" state="frozen"/>
      <selection pane="bottomLeft" activeCell="A1" sqref="A1"/>
    </sheetView>
  </sheetViews>
  <sheetFormatPr baseColWidth="8" defaultRowHeight="15"/>
  <cols>
    <col width="11" customWidth="1" min="1" max="1"/>
    <col width="7" customWidth="1" min="2" max="2"/>
    <col width="9" customWidth="1" min="3" max="3"/>
    <col width="10" customWidth="1" min="4" max="4"/>
    <col width="7" customWidth="1" min="5" max="5"/>
    <col width="7" customWidth="1" min="6" max="6"/>
    <col width="12" customWidth="1" min="7" max="7"/>
    <col width="7" customWidth="1" min="8" max="8"/>
    <col width="7" customWidth="1" min="9" max="9"/>
    <col width="7" customWidth="1" min="10" max="10"/>
    <col width="7" customWidth="1" min="11" max="11"/>
    <col width="8" customWidth="1" min="12" max="12"/>
    <col width="11" customWidth="1" min="13" max="13"/>
    <col width="11" customWidth="1" min="14" max="14"/>
    <col width="12" customWidth="1" min="15" max="15"/>
    <col width="9" customWidth="1" min="16" max="16"/>
    <col width="14" customWidth="1" min="17" max="17"/>
    <col width="30" customWidth="1" min="18" max="18"/>
    <col width="16" customWidth="1" min="19" max="19"/>
  </cols>
  <sheetData>
    <row r="1">
      <c r="A1" s="65" t="inlineStr">
        <is>
          <t>TEST C - Range, at 0 deg and 90 deg</t>
        </is>
      </c>
    </row>
    <row r="2">
      <c r="A2" s="66" t="inlineStr">
        <is>
          <t>25 mm / 0.2 mm caps. Kingbright dropped - 19.7x anisotropy puts it out regardless of range. The 90 deg rows are the BINDING case: a marker detected at 90 deg is certainly detected at 0 deg, so the 90 deg far limit IS the operating range and it sets how many cameras the arena needs.</t>
        </is>
      </c>
    </row>
    <row r="3">
      <c r="A3" t="inlineStr">
        <is>
          <t>RUN 3 - 10 Sep, CORRIDOR (not the arena). Camera 1, filter fitted, focus as locked 9 Sep - NOT re-touched. INSTRUMENT CHANGE: blob selection is now PEAK-based, not area-based. A corridor wall reflection is dimmer but more SPREAD OUT, so the old max-by-pixels pick locks onto the reflection at the long exposures this sweep uses (at 120 ms: reflection 463 px/peak 157 vs marker 325 px/peak 204). Run-2 rows were arena, single source, so they are unaffected. VENUE CAVEAT: reflections are in frame (blobs=3 at 8 m) and the marker is not isolated from its surround, so ABSOLUTE exposures do not transfer to the arena. Build-to-build RANKING is the intended use and is robust to a common-mode surround term. MARKER SIZE UNEXPLAINED: resolved as a ~68 px disc at 8 m vs ~7 px geometric for a 25 mm cap. Not defocus (blur circle &lt;2.5 px for any plausible focus - would need focus at 52 mm), not saturation (clean at peak 211), not the sideways lobe (0 deg and 90 deg give rms_r 26.2 vs 24.8, i.e. unchanged). Most likely the LED plus an illuminated surround. OPEN.</t>
        </is>
      </c>
    </row>
    <row r="4">
      <c r="A4" s="66" t="inlineStr">
        <is>
          <t>RUN 2 - night session, 9 Sep. Arena ambient is FLAT from 85 us to 100 ms (3.3-3.5 counts = sensor pedestal, not light); first real signal above 100 ms, still only 10 counts at 200 ms vs THRESH_LO 80. No ambient ceiling below ~200 ms. CAVEAT: run on a lab 9V battery of unknown charge - the marker measured 2.4x dimmer than run 1 at matched geometry (same cap: fill/lobe/w-h reproduce to 3%, so all four LEDs are lit and it is drive current, not optics). ABSOLUTE exposures therefore carry an unknown scale factor; column S normalises it away. A DETECTION is a valid lower bound; a NON-detection is provisional and flagged battery-limited until re-checked on a known 9.0 V pack.</t>
        </is>
      </c>
    </row>
    <row r="5">
      <c r="A5" t="inlineStr">
        <is>
          <t>INSTRUMENT: all run-2 rows use a FORCED VGA 640x480 ratio-1 readout window. The old auto-size rule (QVGA below a 60 px blob) introduced a step in sigma at the switch point - QVGA measured 35% higher sigma than VGA on an identical blob. Placement repeatability at 90 deg is 3.2% (1 sigma, n=3).</t>
        </is>
      </c>
    </row>
    <row r="6" ht="34" customHeight="1">
      <c r="A6" s="77" t="inlineStr">
        <is>
          <t>ROWS 7-11 VOID: measured 2026-09-09 before the lens focus problem was found. The lens was focused near, so the blob hollows out and grows with distance, flattening the exposure curve and faking the range limit. Focus was corrected at the end of that session (at 5 m, same exposure: fill 0.73-&gt;1.46, area 571-&gt;316, diameter 27.0-&gt;20.0 px). Re-sweep from 1 m with focus locked. See PROTOCOL.md section 1.</t>
        </is>
      </c>
      <c r="B6" s="77" t="inlineStr">
        <is>
          <t>Angle
(deg)</t>
        </is>
      </c>
      <c r="C6" s="77" t="inlineStr">
        <is>
          <t>Distance
(m)</t>
        </is>
      </c>
      <c r="D6" s="77" t="inlineStr">
        <is>
          <t>Exposure
(us)</t>
        </is>
      </c>
      <c r="E6" s="77" t="inlineStr">
        <is>
          <t>Peak</t>
        </is>
      </c>
      <c r="F6" s="77" t="inlineStr">
        <is>
          <t>Sat px</t>
        </is>
      </c>
      <c r="G6" s="77" t="inlineStr">
        <is>
          <t>Sensor area
(px)</t>
        </is>
      </c>
      <c r="H6" s="77" t="inlineStr">
        <is>
          <t>npix</t>
        </is>
      </c>
      <c r="I6" s="77" t="inlineStr">
        <is>
          <t>blobs</t>
        </is>
      </c>
      <c r="J6" s="77" t="inlineStr">
        <is>
          <t>w/h</t>
        </is>
      </c>
      <c r="K6" s="77" t="inlineStr">
        <is>
          <t>Fill</t>
        </is>
      </c>
      <c r="L6" s="77" t="inlineStr">
        <is>
          <t>Lobe</t>
        </is>
      </c>
      <c r="M6" s="77" t="inlineStr">
        <is>
          <t>sigma_u
(px)</t>
        </is>
      </c>
      <c r="N6" s="77" t="inlineStr">
        <is>
          <t>sigma_v
(px)</t>
        </is>
      </c>
      <c r="O6" s="77" t="inlineStr">
        <is>
          <t>sigma_RMS
(px)</t>
        </is>
      </c>
      <c r="P6" s="77" t="inlineStr">
        <is>
          <t>Detected?
(Y/N)</t>
        </is>
      </c>
      <c r="Q6" s="77" t="inlineStr">
        <is>
          <t>area x d^2
(const if resolved)</t>
        </is>
      </c>
      <c r="R6" s="77" t="inlineStr">
        <is>
          <t>Notes</t>
        </is>
      </c>
      <c r="S6" s="77" t="inlineStr">
        <is>
          <t>Exp / exp(1 m)
(battery-independent)</t>
        </is>
      </c>
    </row>
    <row r="7">
      <c r="A7" s="128" t="inlineStr">
        <is>
          <t>XL</t>
        </is>
      </c>
      <c r="B7" s="100" t="n">
        <v>90</v>
      </c>
      <c r="C7" s="136" t="n">
        <v>1</v>
      </c>
      <c r="D7" s="129" t="n">
        <v>7140</v>
      </c>
      <c r="E7" s="129" t="n">
        <v>211.6</v>
      </c>
      <c r="F7" s="134" t="n">
        <v>0</v>
      </c>
      <c r="G7" s="129" t="n">
        <v>5535</v>
      </c>
      <c r="H7" s="129" t="n">
        <v>6690</v>
      </c>
      <c r="I7" s="129" t="n">
        <v>1</v>
      </c>
      <c r="J7" s="130" t="n">
        <v>0.97</v>
      </c>
      <c r="K7" s="130" t="n">
        <v>1.55</v>
      </c>
      <c r="L7" s="131" t="n">
        <v>0.029</v>
      </c>
      <c r="M7" s="132" t="n">
        <v>0.0344</v>
      </c>
      <c r="N7" s="132" t="n">
        <v>0.0408</v>
      </c>
      <c r="O7" s="107">
        <f>IF(OR(M7="",N7=""),"",SQRT(0.5*(M7^2+N7^2)))</f>
        <v/>
      </c>
      <c r="P7" s="135" t="inlineStr">
        <is>
          <t>Y</t>
        </is>
      </c>
      <c r="Q7" s="100">
        <f>IF(OR(C7="",G7=""),"",G7*C7^2)</f>
        <v/>
      </c>
      <c r="R7" s="110" t="inlineStr">
        <is>
          <t xml:space="preserve">VOID - OLD (NEAR) LENS FOCUS. </t>
        </is>
      </c>
      <c r="S7" s="140">
        <f>IF(OR(D7="",D7=""),"",D7/D7)</f>
        <v/>
      </c>
    </row>
    <row r="8">
      <c r="A8" s="133" t="n"/>
      <c r="B8" s="85" t="n"/>
      <c r="C8" s="137" t="n">
        <v>2</v>
      </c>
      <c r="D8" s="74" t="n">
        <v>17998</v>
      </c>
      <c r="E8" s="74" t="n">
        <v>209.2</v>
      </c>
      <c r="F8" s="72" t="n">
        <v>0</v>
      </c>
      <c r="G8" s="74" t="n">
        <v>4812</v>
      </c>
      <c r="H8" s="74" t="n">
        <v>5705</v>
      </c>
      <c r="I8" s="74" t="n">
        <v>1</v>
      </c>
      <c r="J8" s="79" t="n">
        <v>0.98</v>
      </c>
      <c r="K8" s="79" t="n">
        <v>1.51</v>
      </c>
      <c r="L8" s="126" t="n">
        <v>0.037</v>
      </c>
      <c r="M8" s="83" t="n">
        <v>0.0216</v>
      </c>
      <c r="N8" s="83" t="n">
        <v>0.0378</v>
      </c>
      <c r="O8" s="84">
        <f>IF(OR(M8="",N8=""),"",SQRT(0.5*(M8^2+N8^2)))</f>
        <v/>
      </c>
      <c r="P8" s="78" t="inlineStr">
        <is>
          <t>Y</t>
        </is>
      </c>
      <c r="Q8" s="85">
        <f>IF(OR(C8="",G8=""),"",G8*C8^2)</f>
        <v/>
      </c>
      <c r="R8" s="81" t="inlineStr">
        <is>
          <t>VOID - OLD (NEAR) LENS FOCUS. QVGA 320x240 (blob ~55 px) - REDO IN VGA. sigma here is inflated ~35% by the window mode (see row 9), so it is not comparable with the VGA rows. Exposure 3.42x for 2x distance.</t>
        </is>
      </c>
      <c r="S8" s="140">
        <f>IF(OR(D8="",D7=""),"",D8/D7)</f>
        <v/>
      </c>
    </row>
    <row r="9">
      <c r="A9" s="133" t="n"/>
      <c r="B9" s="85" t="n"/>
      <c r="C9" s="137" t="n">
        <v>3</v>
      </c>
      <c r="D9" s="74" t="n">
        <v>38887</v>
      </c>
      <c r="E9" s="74" t="n">
        <v>211.9</v>
      </c>
      <c r="F9" s="72" t="n">
        <v>0</v>
      </c>
      <c r="G9" s="74" t="n">
        <v>4741</v>
      </c>
      <c r="H9" s="74" t="n">
        <v>5485</v>
      </c>
      <c r="I9" s="74" t="n">
        <v>1</v>
      </c>
      <c r="J9" s="79" t="n">
        <v>0.99</v>
      </c>
      <c r="K9" s="79" t="n">
        <v>1.48</v>
      </c>
      <c r="L9" s="126" t="n">
        <v>0.029</v>
      </c>
      <c r="M9" s="83" t="n">
        <v>0.0292</v>
      </c>
      <c r="N9" s="83" t="n">
        <v>0.0466</v>
      </c>
      <c r="O9" s="84">
        <f>IF(OR(M9="",N9=""),"",SQRT(0.5*(M9^2+N9^2)))</f>
        <v/>
      </c>
      <c r="P9" s="78" t="inlineStr">
        <is>
          <t>Y</t>
        </is>
      </c>
      <c r="Q9" s="85">
        <f>IF(OR(C9="",G9=""),"",G9*C9^2)</f>
        <v/>
      </c>
      <c r="R9" s="81" t="inlineStr">
        <is>
          <t xml:space="preserve">VOID - OLD (NEAR) LENS FOCUS. </t>
        </is>
      </c>
      <c r="S9" s="140">
        <f>IF(OR(D9="",D7=""),"",D9/D7)</f>
        <v/>
      </c>
    </row>
    <row r="10">
      <c r="A10" s="133" t="n"/>
      <c r="B10" s="85" t="n"/>
      <c r="C10" s="137" t="n">
        <v>4</v>
      </c>
      <c r="D10" s="74" t="n">
        <v>68488</v>
      </c>
      <c r="E10" s="74" t="n">
        <v>212.9</v>
      </c>
      <c r="F10" s="72" t="n">
        <v>0</v>
      </c>
      <c r="G10" s="74" t="n">
        <v>4663</v>
      </c>
      <c r="H10" s="74" t="n">
        <v>5375</v>
      </c>
      <c r="I10" s="74" t="n">
        <v>1</v>
      </c>
      <c r="J10" s="79" t="n">
        <v>1</v>
      </c>
      <c r="K10" s="79" t="n">
        <v>1.47</v>
      </c>
      <c r="L10" s="126" t="n">
        <v>0.025</v>
      </c>
      <c r="M10" s="83" t="n">
        <v>0.0257</v>
      </c>
      <c r="N10" s="83" t="n">
        <v>0.022</v>
      </c>
      <c r="O10" s="84">
        <f>IF(OR(M10="",N10=""),"",SQRT(0.5*(M10^2+N10^2)))</f>
        <v/>
      </c>
      <c r="P10" s="78" t="inlineStr">
        <is>
          <t>Y</t>
        </is>
      </c>
      <c r="Q10" s="85">
        <f>IF(OR(C10="",G10=""),"",G10*C10^2)</f>
        <v/>
      </c>
      <c r="R10" s="81" t="inlineStr">
        <is>
          <t xml:space="preserve">VOID - OLD (NEAR) LENS FOCUS. </t>
        </is>
      </c>
      <c r="S10" s="140">
        <f>IF(OR(D10="",D7=""),"",D10/D7)</f>
        <v/>
      </c>
    </row>
    <row r="11">
      <c r="A11" s="133" t="n"/>
      <c r="B11" s="85" t="n"/>
      <c r="C11" s="137" t="n">
        <v>5</v>
      </c>
      <c r="D11" s="74" t="n">
        <v>104018</v>
      </c>
      <c r="E11" s="74" t="n">
        <v>212.5</v>
      </c>
      <c r="F11" s="72" t="n">
        <v>0</v>
      </c>
      <c r="G11" s="74" t="n">
        <v>4639</v>
      </c>
      <c r="H11" s="74" t="n">
        <v>5342</v>
      </c>
      <c r="I11" s="74" t="n">
        <v>1</v>
      </c>
      <c r="J11" s="79" t="n">
        <v>1</v>
      </c>
      <c r="K11" s="79" t="n">
        <v>1.47</v>
      </c>
      <c r="L11" s="126" t="n">
        <v>0.026</v>
      </c>
      <c r="M11" s="83" t="n">
        <v>0.0108</v>
      </c>
      <c r="N11" s="83" t="n">
        <v>0.0292</v>
      </c>
      <c r="O11" s="84">
        <f>IF(OR(M11="",N11=""),"",SQRT(0.5*(M11^2+N11^2)))</f>
        <v/>
      </c>
      <c r="P11" s="78" t="inlineStr">
        <is>
          <t>Y</t>
        </is>
      </c>
      <c r="Q11" s="85">
        <f>IF(OR(C11="",G11=""),"",G11*C11^2)</f>
        <v/>
      </c>
      <c r="R11" s="81" t="inlineStr">
        <is>
          <t xml:space="preserve">VOID - OLD (NEAR) LENS FOCUS. </t>
        </is>
      </c>
      <c r="S11" s="140">
        <f>IF(OR(D11="",D7=""),"",D11/D7)</f>
        <v/>
      </c>
    </row>
    <row r="12">
      <c r="A12" s="133" t="n"/>
      <c r="B12" s="85" t="n"/>
      <c r="C12" s="137" t="n">
        <v>6</v>
      </c>
      <c r="D12" s="74" t="n">
        <v>148983</v>
      </c>
      <c r="E12" s="74" t="n">
        <v>214.8</v>
      </c>
      <c r="F12" s="72" t="n">
        <v>0</v>
      </c>
      <c r="G12" s="74" t="n">
        <v>4625</v>
      </c>
      <c r="H12" s="74" t="n">
        <v>5323</v>
      </c>
      <c r="I12" s="74" t="n">
        <v>1</v>
      </c>
      <c r="J12" s="79" t="n">
        <v>1</v>
      </c>
      <c r="K12" s="79" t="n">
        <v>1.47</v>
      </c>
      <c r="L12" s="126" t="n">
        <v>0.026</v>
      </c>
      <c r="M12" s="83" t="n">
        <v>0.0254</v>
      </c>
      <c r="N12" s="83" t="n">
        <v>0.0354</v>
      </c>
      <c r="O12" s="84">
        <f>IF(OR(M12="",N12=""),"",SQRT(0.5*(M12^2+N12^2)))</f>
        <v/>
      </c>
      <c r="P12" s="78" t="inlineStr">
        <is>
          <t>Y</t>
        </is>
      </c>
      <c r="Q12" s="85">
        <f>IF(OR(C12="",G12=""),"",G12*C12^2)</f>
        <v/>
      </c>
      <c r="R12" s="81" t="n"/>
      <c r="S12" s="140">
        <f>IF(OR(D12="",D7=""),"",D12/D7)</f>
        <v/>
      </c>
    </row>
    <row r="13">
      <c r="A13" s="133" t="n"/>
      <c r="B13" s="85" t="n"/>
      <c r="C13" s="137" t="n">
        <v>7</v>
      </c>
      <c r="D13" s="74" t="n">
        <v>196562</v>
      </c>
      <c r="E13" s="74" t="n">
        <v>214.6</v>
      </c>
      <c r="F13" s="72" t="n">
        <v>0</v>
      </c>
      <c r="G13" s="74" t="n">
        <v>4620</v>
      </c>
      <c r="H13" s="74" t="n">
        <v>5313</v>
      </c>
      <c r="I13" s="74" t="n">
        <v>1</v>
      </c>
      <c r="J13" s="79" t="n">
        <v>0.99</v>
      </c>
      <c r="K13" s="79" t="n">
        <v>1.46</v>
      </c>
      <c r="L13" s="126" t="n">
        <v>0.028</v>
      </c>
      <c r="M13" s="83" t="n">
        <v>0.019</v>
      </c>
      <c r="N13" s="83" t="n">
        <v>0.0568</v>
      </c>
      <c r="O13" s="84">
        <f>IF(OR(M13="",N13=""),"",SQRT(0.5*(M13^2+N13^2)))</f>
        <v/>
      </c>
      <c r="P13" s="78" t="inlineStr">
        <is>
          <t>Y</t>
        </is>
      </c>
      <c r="Q13" s="85">
        <f>IF(OR(C13="",G13=""),"",G13*C13^2)</f>
        <v/>
      </c>
      <c r="R13" s="81" t="n"/>
      <c r="S13" s="140">
        <f>IF(OR(D13="",D7=""),"",D13/D7)</f>
        <v/>
      </c>
    </row>
    <row r="14">
      <c r="A14" s="133" t="n"/>
      <c r="B14" s="85" t="n"/>
      <c r="C14" s="137" t="n">
        <v>8</v>
      </c>
      <c r="D14" s="74" t="n">
        <v>249985</v>
      </c>
      <c r="E14" s="74" t="n">
        <v>211.1</v>
      </c>
      <c r="F14" s="72" t="n">
        <v>0</v>
      </c>
      <c r="G14" s="74" t="n">
        <v>4575</v>
      </c>
      <c r="H14" s="74" t="n">
        <v>5282</v>
      </c>
      <c r="I14" s="74" t="n">
        <v>2</v>
      </c>
      <c r="J14" s="79" t="n">
        <v>0.99</v>
      </c>
      <c r="K14" s="79" t="n">
        <v>1.47</v>
      </c>
      <c r="L14" s="126" t="n">
        <v>0.028</v>
      </c>
      <c r="M14" s="83" t="n">
        <v>0.016</v>
      </c>
      <c r="N14" s="83" t="n">
        <v>0.0225</v>
      </c>
      <c r="O14" s="84">
        <f>IF(OR(M14="",N14=""),"",SQRT(0.5*(M14^2+N14^2)))</f>
        <v/>
      </c>
      <c r="P14" s="78" t="inlineStr">
        <is>
          <t>Y</t>
        </is>
      </c>
      <c r="Q14" s="85">
        <f>IF(OR(C14="",G14=""),"",G14*C14^2)</f>
        <v/>
      </c>
      <c r="R14" s="81" t="n"/>
      <c r="S14" s="140">
        <f>IF(OR(D14="",D7=""),"",D14/D7)</f>
        <v/>
      </c>
    </row>
    <row r="15">
      <c r="A15" s="133" t="inlineStr">
        <is>
          <t>RUN 3 RESULT. Power law over 2-8 m: n=1.906 (90 deg, rms resid 1.0%) and n=1.854 (0 deg, 2.2%). Anisotropy 90/0 = 1.95 +/- 0.08, NO distance trend. Exposure span 1-8 m = 35x (not 64x). n&lt;2 IS INSTRUMENTAL, NOT THE LED: inverse square 16.00 -&gt; 15.22 (partial resolution, PSF 76 px) -&gt; 14.58 (vignetting) vs 13.89 measured, 5% residual. The marker slid from r=430 px to r=658 px off-axis as it came in, so RADIAL POSITION WAS CONFOUNDED WITH RANGE. Do NOT rank builds on the exponent - rank on col S at matched distance. 1 m departs the power law (n=1.33/1.38): the marker becomes RESOLVED, surface brightness is conserved, so peak grows slower than flux. Fit gives PSF 76.0 px, effective emitter 17.8 mm behind a 25 mm cap.</t>
        </is>
      </c>
      <c r="B15" s="85" t="n"/>
      <c r="C15" s="137" t="n"/>
      <c r="D15" s="74" t="n"/>
      <c r="E15" s="74" t="n"/>
      <c r="F15" s="72" t="n"/>
      <c r="G15" s="74" t="n"/>
      <c r="H15" s="74" t="n"/>
      <c r="I15" s="74" t="n"/>
      <c r="J15" s="79" t="n"/>
      <c r="K15" s="79" t="n"/>
      <c r="L15" s="126" t="n"/>
      <c r="M15" s="83" t="n"/>
      <c r="N15" s="83" t="n"/>
      <c r="O15" s="84">
        <f>IF(OR(M15="",N15=""),"",SQRT(0.5*(M15^2+N15^2)))</f>
        <v/>
      </c>
      <c r="P15" s="78" t="n"/>
      <c r="Q15" s="85">
        <f>IF(OR(C15="",G15=""),"",G15*C15^2)</f>
        <v/>
      </c>
      <c r="R15" s="81" t="inlineStr">
        <is>
          <t>unused - grid is 1-8 m</t>
        </is>
      </c>
    </row>
    <row r="16">
      <c r="A16" s="133" t="n"/>
      <c r="B16" s="85" t="n"/>
      <c r="C16" s="137" t="n"/>
      <c r="D16" s="74" t="n"/>
      <c r="E16" s="74" t="n"/>
      <c r="F16" s="72" t="n"/>
      <c r="G16" s="74" t="n"/>
      <c r="H16" s="74" t="n"/>
      <c r="I16" s="74" t="n"/>
      <c r="J16" s="79" t="n"/>
      <c r="K16" s="79" t="n"/>
      <c r="L16" s="126" t="n"/>
      <c r="M16" s="83" t="n"/>
      <c r="N16" s="83" t="n"/>
      <c r="O16" s="84">
        <f>IF(OR(M16="",N16=""),"",SQRT(0.5*(M16^2+N16^2)))</f>
        <v/>
      </c>
      <c r="P16" s="78" t="n"/>
      <c r="Q16" s="85">
        <f>IF(OR(C16="",G16=""),"",G16*C16^2)</f>
        <v/>
      </c>
      <c r="R16" s="81" t="inlineStr">
        <is>
          <t>unused - grid is 1-8 m</t>
        </is>
      </c>
    </row>
    <row r="17">
      <c r="A17" s="133" t="inlineStr">
        <is>
          <t>XL</t>
        </is>
      </c>
      <c r="B17" s="85" t="n">
        <v>0</v>
      </c>
      <c r="C17" s="137" t="n">
        <v>1</v>
      </c>
      <c r="D17" s="74" t="n">
        <v>3782</v>
      </c>
      <c r="E17" s="74" t="n">
        <v>213.2</v>
      </c>
      <c r="F17" s="72" t="n">
        <v>0</v>
      </c>
      <c r="G17" s="74" t="n">
        <v>5635</v>
      </c>
      <c r="H17" s="74" t="n">
        <v>6815</v>
      </c>
      <c r="I17" s="74" t="n">
        <v>1</v>
      </c>
      <c r="J17" s="79" t="n">
        <v>0.99</v>
      </c>
      <c r="K17" s="79" t="n">
        <v>1.52</v>
      </c>
      <c r="L17" s="126" t="n">
        <v>0.032</v>
      </c>
      <c r="M17" s="83" t="n">
        <v>0.0296</v>
      </c>
      <c r="N17" s="83" t="n">
        <v>0.036</v>
      </c>
      <c r="O17" s="84">
        <f>IF(OR(M17="",N17=""),"",SQRT(0.5*(M17^2+N17^2)))</f>
        <v/>
      </c>
      <c r="P17" s="78" t="inlineStr">
        <is>
          <t>Y</t>
        </is>
      </c>
      <c r="Q17" s="85">
        <f>IF(OR(C17="",G17=""),"",G17*C17^2)</f>
        <v/>
      </c>
      <c r="R17" s="81" t="n"/>
      <c r="S17" s="140">
        <f>IF(OR(D17="",D17=""),"",D17/D17)</f>
        <v/>
      </c>
    </row>
    <row r="18">
      <c r="A18" s="133" t="n"/>
      <c r="B18" s="85" t="n"/>
      <c r="C18" s="137" t="n">
        <v>2</v>
      </c>
      <c r="D18" s="74" t="n">
        <v>9860</v>
      </c>
      <c r="E18" s="74" t="n">
        <v>205.5</v>
      </c>
      <c r="F18" s="72" t="n">
        <v>0</v>
      </c>
      <c r="G18" s="74" t="n">
        <v>4811</v>
      </c>
      <c r="H18" s="74" t="n">
        <v>5697</v>
      </c>
      <c r="I18" s="74" t="n">
        <v>1</v>
      </c>
      <c r="J18" s="79" t="n">
        <v>0.99</v>
      </c>
      <c r="K18" s="79" t="n">
        <v>1.49</v>
      </c>
      <c r="L18" s="126" t="n">
        <v>0.028</v>
      </c>
      <c r="M18" s="83" t="n">
        <v>0.0237</v>
      </c>
      <c r="N18" s="83" t="n">
        <v>0.0286</v>
      </c>
      <c r="O18" s="84">
        <f>IF(OR(M18="",N18=""),"",SQRT(0.5*(M18^2+N18^2)))</f>
        <v/>
      </c>
      <c r="P18" s="78" t="inlineStr">
        <is>
          <t>Y</t>
        </is>
      </c>
      <c r="Q18" s="85">
        <f>IF(OR(C18="",G18=""),"",G18*C18^2)</f>
        <v/>
      </c>
      <c r="R18" s="81" t="n"/>
      <c r="S18" s="140">
        <f>IF(OR(D18="",D17=""),"",D18/D17)</f>
        <v/>
      </c>
    </row>
    <row r="19">
      <c r="A19" s="133" t="n"/>
      <c r="B19" s="85" t="n"/>
      <c r="C19" s="137" t="n">
        <v>3</v>
      </c>
      <c r="D19" s="74" t="n">
        <v>20400</v>
      </c>
      <c r="E19" s="74" t="n">
        <v>212.1</v>
      </c>
      <c r="F19" s="72" t="n">
        <v>0</v>
      </c>
      <c r="G19" s="74" t="n">
        <v>4747</v>
      </c>
      <c r="H19" s="74" t="n">
        <v>5524</v>
      </c>
      <c r="I19" s="74" t="n">
        <v>1</v>
      </c>
      <c r="J19" s="79" t="n">
        <v>0.99</v>
      </c>
      <c r="K19" s="79" t="n">
        <v>1.48</v>
      </c>
      <c r="L19" s="126" t="n">
        <v>0.025</v>
      </c>
      <c r="M19" s="83" t="n">
        <v>0.0144</v>
      </c>
      <c r="N19" s="83" t="n">
        <v>0.0192</v>
      </c>
      <c r="O19" s="84">
        <f>IF(OR(M19="",N19=""),"",SQRT(0.5*(M19^2+N19^2)))</f>
        <v/>
      </c>
      <c r="P19" s="78" t="inlineStr">
        <is>
          <t>Y</t>
        </is>
      </c>
      <c r="Q19" s="85">
        <f>IF(OR(C19="",G19=""),"",G19*C19^2)</f>
        <v/>
      </c>
      <c r="R19" s="81" t="n"/>
      <c r="S19" s="140">
        <f>IF(OR(D19="",D17=""),"",D19/D17)</f>
        <v/>
      </c>
    </row>
    <row r="20">
      <c r="A20" s="133" t="n"/>
      <c r="B20" s="85" t="n"/>
      <c r="C20" s="137" t="n">
        <v>4</v>
      </c>
      <c r="D20" s="74" t="n">
        <v>34998</v>
      </c>
      <c r="E20" s="74" t="n">
        <v>209.3</v>
      </c>
      <c r="F20" s="72" t="n">
        <v>0</v>
      </c>
      <c r="G20" s="74" t="n">
        <v>4624</v>
      </c>
      <c r="H20" s="74" t="n">
        <v>5346</v>
      </c>
      <c r="I20" s="74" t="n">
        <v>1</v>
      </c>
      <c r="J20" s="79" t="n">
        <v>1</v>
      </c>
      <c r="K20" s="79" t="n">
        <v>1.48</v>
      </c>
      <c r="L20" s="126" t="n">
        <v>0.02</v>
      </c>
      <c r="M20" s="83" t="n">
        <v>0.016</v>
      </c>
      <c r="N20" s="83" t="n">
        <v>0.0237</v>
      </c>
      <c r="O20" s="84">
        <f>IF(OR(M20="",N20=""),"",SQRT(0.5*(M20^2+N20^2)))</f>
        <v/>
      </c>
      <c r="P20" s="78" t="inlineStr">
        <is>
          <t>Y</t>
        </is>
      </c>
      <c r="Q20" s="85">
        <f>IF(OR(C20="",G20=""),"",G20*C20^2)</f>
        <v/>
      </c>
      <c r="R20" s="81" t="n"/>
      <c r="S20" s="140">
        <f>IF(OR(D20="",D17=""),"",D20/D17)</f>
        <v/>
      </c>
    </row>
    <row r="21">
      <c r="A21" s="133" t="n"/>
      <c r="B21" s="85" t="n"/>
      <c r="C21" s="137" t="n">
        <v>5</v>
      </c>
      <c r="D21" s="74" t="n">
        <v>51446</v>
      </c>
      <c r="E21" s="74" t="n">
        <v>207.2</v>
      </c>
      <c r="F21" s="72" t="n">
        <v>0</v>
      </c>
      <c r="G21" s="74" t="n">
        <v>4529</v>
      </c>
      <c r="H21" s="74" t="n">
        <v>5229</v>
      </c>
      <c r="I21" s="74" t="n">
        <v>1</v>
      </c>
      <c r="J21" s="79" t="n">
        <v>0.98</v>
      </c>
      <c r="K21" s="79" t="n">
        <v>1.49</v>
      </c>
      <c r="L21" s="126" t="n">
        <v>0.024</v>
      </c>
      <c r="M21" s="83" t="n">
        <v>0.0248</v>
      </c>
      <c r="N21" s="83" t="n">
        <v>0.039</v>
      </c>
      <c r="O21" s="84">
        <f>IF(OR(M21="",N21=""),"",SQRT(0.5*(M21^2+N21^2)))</f>
        <v/>
      </c>
      <c r="P21" s="78" t="inlineStr">
        <is>
          <t>Y</t>
        </is>
      </c>
      <c r="Q21" s="85">
        <f>IF(OR(C21="",G21=""),"",G21*C21^2)</f>
        <v/>
      </c>
      <c r="R21" s="81" t="n"/>
      <c r="S21" s="140">
        <f>IF(OR(D21="",D17=""),"",D21/D17)</f>
        <v/>
      </c>
    </row>
    <row r="22">
      <c r="A22" s="133" t="n"/>
      <c r="B22" s="85" t="n"/>
      <c r="C22" s="137" t="n">
        <v>6</v>
      </c>
      <c r="D22" s="74" t="n">
        <v>71995</v>
      </c>
      <c r="E22" s="74" t="n">
        <v>209.9</v>
      </c>
      <c r="F22" s="72" t="n">
        <v>0</v>
      </c>
      <c r="G22" s="74" t="n">
        <v>4523</v>
      </c>
      <c r="H22" s="74" t="n">
        <v>5208</v>
      </c>
      <c r="I22" s="74" t="n">
        <v>1</v>
      </c>
      <c r="J22" s="79" t="n">
        <v>0.99</v>
      </c>
      <c r="K22" s="79" t="n">
        <v>1.49</v>
      </c>
      <c r="L22" s="126" t="n">
        <v>0.023</v>
      </c>
      <c r="M22" s="83" t="n">
        <v>0.0333</v>
      </c>
      <c r="N22" s="83" t="n">
        <v>0.0345</v>
      </c>
      <c r="O22" s="84">
        <f>IF(OR(M22="",N22=""),"",SQRT(0.5*(M22^2+N22^2)))</f>
        <v/>
      </c>
      <c r="P22" s="78" t="inlineStr">
        <is>
          <t>Y</t>
        </is>
      </c>
      <c r="Q22" s="85">
        <f>IF(OR(C22="",G22=""),"",G22*C22^2)</f>
        <v/>
      </c>
      <c r="R22" s="81" t="n"/>
      <c r="S22" s="140">
        <f>IF(OR(D22="",D17=""),"",D22/D17)</f>
        <v/>
      </c>
    </row>
    <row r="23">
      <c r="A23" s="133" t="n"/>
      <c r="B23" s="85" t="n"/>
      <c r="C23" s="137" t="n">
        <v>7</v>
      </c>
      <c r="D23" s="74" t="n">
        <v>99216</v>
      </c>
      <c r="E23" s="74" t="n">
        <v>213.1</v>
      </c>
      <c r="F23" s="72" t="n">
        <v>0</v>
      </c>
      <c r="G23" s="74" t="n">
        <v>4555</v>
      </c>
      <c r="H23" s="74" t="n">
        <v>5235</v>
      </c>
      <c r="I23" s="74" t="n">
        <v>1</v>
      </c>
      <c r="J23" s="79" t="n">
        <v>0.99</v>
      </c>
      <c r="K23" s="79" t="n">
        <v>1.48</v>
      </c>
      <c r="L23" s="126" t="n">
        <v>0.021</v>
      </c>
      <c r="M23" s="83" t="n">
        <v>0.0134</v>
      </c>
      <c r="N23" s="83" t="n">
        <v>0.0203</v>
      </c>
      <c r="O23" s="84">
        <f>IF(OR(M23="",N23=""),"",SQRT(0.5*(M23^2+N23^2)))</f>
        <v/>
      </c>
      <c r="P23" s="78" t="inlineStr">
        <is>
          <t>Y</t>
        </is>
      </c>
      <c r="Q23" s="85">
        <f>IF(OR(C23="",G23=""),"",G23*C23^2)</f>
        <v/>
      </c>
      <c r="R23" s="81" t="n"/>
      <c r="S23" s="140">
        <f>IF(OR(D23="",D17=""),"",D23/D17)</f>
        <v/>
      </c>
    </row>
    <row r="24">
      <c r="A24" s="133" t="n"/>
      <c r="B24" s="85" t="n"/>
      <c r="C24" s="137" t="n">
        <v>8</v>
      </c>
      <c r="D24" s="74" t="n">
        <v>131282</v>
      </c>
      <c r="E24" s="74" t="n">
        <v>213.6</v>
      </c>
      <c r="F24" s="72" t="n">
        <v>0</v>
      </c>
      <c r="G24" s="74" t="n">
        <v>4530</v>
      </c>
      <c r="H24" s="74" t="n">
        <v>5193</v>
      </c>
      <c r="I24" s="74" t="n">
        <v>3</v>
      </c>
      <c r="J24" s="79" t="n">
        <v>1</v>
      </c>
      <c r="K24" s="79" t="n">
        <v>1.47</v>
      </c>
      <c r="L24" s="126" t="n">
        <v>0.025</v>
      </c>
      <c r="M24" s="83" t="n">
        <v>0.0321</v>
      </c>
      <c r="N24" s="83" t="n">
        <v>0.0352</v>
      </c>
      <c r="O24" s="84">
        <f>IF(OR(M24="",N24=""),"",SQRT(0.5*(M24^2+N24^2)))</f>
        <v/>
      </c>
      <c r="P24" s="78" t="inlineStr">
        <is>
          <t>Y</t>
        </is>
      </c>
      <c r="Q24" s="85">
        <f>IF(OR(C24="",G24=""),"",G24*C24^2)</f>
        <v/>
      </c>
      <c r="R24" s="81" t="inlineStr">
        <is>
          <t>RUN 3 corridor. blobs=3. DRIFT CHECK: repeated at end of session -&gt; 126458 us vs 131282 us (-3.7%, within the 3.2% placement repeatability). NO battery droop; the fitted exponent is real.</t>
        </is>
      </c>
      <c r="S24" s="140">
        <f>IF(OR(D24="",D17=""),"",D24/D17)</f>
        <v/>
      </c>
    </row>
    <row r="25">
      <c r="A25" s="133" t="n"/>
      <c r="B25" s="85" t="n"/>
      <c r="C25" s="137" t="n"/>
      <c r="D25" s="74" t="n"/>
      <c r="E25" s="74" t="n"/>
      <c r="F25" s="72" t="n"/>
      <c r="G25" s="74" t="n"/>
      <c r="H25" s="74" t="n"/>
      <c r="I25" s="74" t="n"/>
      <c r="J25" s="79" t="n"/>
      <c r="K25" s="79" t="n"/>
      <c r="L25" s="126" t="n"/>
      <c r="M25" s="83" t="n"/>
      <c r="N25" s="83" t="n"/>
      <c r="O25" s="84">
        <f>IF(OR(M25="",N25=""),"",SQRT(0.5*(M25^2+N25^2)))</f>
        <v/>
      </c>
      <c r="P25" s="78" t="n"/>
      <c r="Q25" s="85">
        <f>IF(OR(C25="",G25=""),"",G25*C25^2)</f>
        <v/>
      </c>
      <c r="R25" s="81" t="inlineStr">
        <is>
          <t>unused - grid is 1-8 m</t>
        </is>
      </c>
    </row>
    <row r="26">
      <c r="A26" s="133" t="n"/>
      <c r="B26" s="85" t="n"/>
      <c r="C26" s="137" t="n"/>
      <c r="D26" s="74" t="n"/>
      <c r="E26" s="74" t="n"/>
      <c r="F26" s="72" t="n"/>
      <c r="G26" s="74" t="n"/>
      <c r="H26" s="74" t="n"/>
      <c r="I26" s="74" t="n"/>
      <c r="J26" s="79" t="n"/>
      <c r="K26" s="79" t="n"/>
      <c r="L26" s="126" t="n"/>
      <c r="M26" s="83" t="n"/>
      <c r="N26" s="83" t="n"/>
      <c r="O26" s="84">
        <f>IF(OR(M26="",N26=""),"",SQRT(0.5*(M26^2+N26^2)))</f>
        <v/>
      </c>
      <c r="P26" s="78" t="n"/>
      <c r="Q26" s="85">
        <f>IF(OR(C26="",G26=""),"",G26*C26^2)</f>
        <v/>
      </c>
      <c r="R26" s="81" t="inlineStr">
        <is>
          <t>unused - grid is 1-8 m</t>
        </is>
      </c>
    </row>
    <row r="27">
      <c r="A27" s="128" t="inlineStr">
        <is>
          <t>Everlight</t>
        </is>
      </c>
      <c r="B27" s="100" t="n">
        <v>90</v>
      </c>
      <c r="C27" s="136" t="n">
        <v>1</v>
      </c>
      <c r="D27" s="129" t="n"/>
      <c r="E27" s="129" t="n"/>
      <c r="F27" s="134" t="n"/>
      <c r="G27" s="129" t="n"/>
      <c r="H27" s="129" t="n"/>
      <c r="I27" s="129" t="n"/>
      <c r="J27" s="130" t="n"/>
      <c r="K27" s="130" t="n"/>
      <c r="L27" s="131" t="n"/>
      <c r="M27" s="132" t="n"/>
      <c r="N27" s="132" t="n"/>
      <c r="O27" s="107">
        <f>IF(OR(M27="",N27=""),"",SQRT(0.5*(M27^2+N27^2)))</f>
        <v/>
      </c>
      <c r="P27" s="135" t="n"/>
      <c r="Q27" s="100">
        <f>IF(OR(C27="",G27=""),"",G27*C27^2)</f>
        <v/>
      </c>
      <c r="R27" s="110" t="n"/>
      <c r="S27" s="140">
        <f>IF(OR(D27="",D27=""),"",D27/D27)</f>
        <v/>
      </c>
    </row>
    <row r="28">
      <c r="A28" s="133" t="n"/>
      <c r="B28" s="85" t="n"/>
      <c r="C28" s="137" t="n">
        <v>2</v>
      </c>
      <c r="D28" s="74" t="n"/>
      <c r="E28" s="74" t="n"/>
      <c r="F28" s="72" t="n"/>
      <c r="G28" s="74" t="n"/>
      <c r="H28" s="74" t="n"/>
      <c r="I28" s="74" t="n"/>
      <c r="J28" s="79" t="n"/>
      <c r="K28" s="79" t="n"/>
      <c r="L28" s="126" t="n"/>
      <c r="M28" s="83" t="n"/>
      <c r="N28" s="83" t="n"/>
      <c r="O28" s="84">
        <f>IF(OR(M28="",N28=""),"",SQRT(0.5*(M28^2+N28^2)))</f>
        <v/>
      </c>
      <c r="P28" s="78" t="n"/>
      <c r="Q28" s="85">
        <f>IF(OR(C28="",G28=""),"",G28*C28^2)</f>
        <v/>
      </c>
      <c r="R28" s="81" t="n"/>
      <c r="S28" s="140">
        <f>IF(OR(D28="",D27=""),"",D28/D27)</f>
        <v/>
      </c>
    </row>
    <row r="29">
      <c r="A29" s="133" t="n"/>
      <c r="B29" s="85" t="n"/>
      <c r="C29" s="137" t="n">
        <v>3</v>
      </c>
      <c r="D29" s="74" t="n"/>
      <c r="E29" s="74" t="n"/>
      <c r="F29" s="72" t="n"/>
      <c r="G29" s="74" t="n"/>
      <c r="H29" s="74" t="n"/>
      <c r="I29" s="74" t="n"/>
      <c r="J29" s="79" t="n"/>
      <c r="K29" s="79" t="n"/>
      <c r="L29" s="126" t="n"/>
      <c r="M29" s="83" t="n"/>
      <c r="N29" s="83" t="n"/>
      <c r="O29" s="84">
        <f>IF(OR(M29="",N29=""),"",SQRT(0.5*(M29^2+N29^2)))</f>
        <v/>
      </c>
      <c r="P29" s="78" t="n"/>
      <c r="Q29" s="85">
        <f>IF(OR(C29="",G29=""),"",G29*C29^2)</f>
        <v/>
      </c>
      <c r="R29" s="81" t="n"/>
      <c r="S29" s="140">
        <f>IF(OR(D29="",D27=""),"",D29/D27)</f>
        <v/>
      </c>
    </row>
    <row r="30">
      <c r="A30" s="133" t="n"/>
      <c r="B30" s="85" t="n"/>
      <c r="C30" s="137" t="n">
        <v>4</v>
      </c>
      <c r="D30" s="74" t="n"/>
      <c r="E30" s="74" t="n"/>
      <c r="F30" s="72" t="n"/>
      <c r="G30" s="74" t="n"/>
      <c r="H30" s="74" t="n"/>
      <c r="I30" s="74" t="n"/>
      <c r="J30" s="79" t="n"/>
      <c r="K30" s="79" t="n"/>
      <c r="L30" s="126" t="n"/>
      <c r="M30" s="83" t="n"/>
      <c r="N30" s="83" t="n"/>
      <c r="O30" s="84">
        <f>IF(OR(M30="",N30=""),"",SQRT(0.5*(M30^2+N30^2)))</f>
        <v/>
      </c>
      <c r="P30" s="78" t="n"/>
      <c r="Q30" s="85">
        <f>IF(OR(C30="",G30=""),"",G30*C30^2)</f>
        <v/>
      </c>
      <c r="R30" s="81" t="n"/>
      <c r="S30" s="140">
        <f>IF(OR(D30="",D27=""),"",D30/D27)</f>
        <v/>
      </c>
    </row>
    <row r="31">
      <c r="A31" s="133" t="n"/>
      <c r="B31" s="85" t="n"/>
      <c r="C31" s="137" t="n">
        <v>5</v>
      </c>
      <c r="D31" s="74" t="n"/>
      <c r="E31" s="74" t="n"/>
      <c r="F31" s="72" t="n"/>
      <c r="G31" s="74" t="n"/>
      <c r="H31" s="74" t="n"/>
      <c r="I31" s="74" t="n"/>
      <c r="J31" s="79" t="n"/>
      <c r="K31" s="79" t="n"/>
      <c r="L31" s="126" t="n"/>
      <c r="M31" s="83" t="n"/>
      <c r="N31" s="83" t="n"/>
      <c r="O31" s="84">
        <f>IF(OR(M31="",N31=""),"",SQRT(0.5*(M31^2+N31^2)))</f>
        <v/>
      </c>
      <c r="P31" s="78" t="n"/>
      <c r="Q31" s="85">
        <f>IF(OR(C31="",G31=""),"",G31*C31^2)</f>
        <v/>
      </c>
      <c r="R31" s="81" t="n"/>
      <c r="S31" s="140">
        <f>IF(OR(D31="",D27=""),"",D31/D27)</f>
        <v/>
      </c>
    </row>
    <row r="32">
      <c r="A32" s="133" t="n"/>
      <c r="B32" s="85" t="n"/>
      <c r="C32" s="137" t="n">
        <v>6</v>
      </c>
      <c r="D32" s="74" t="n"/>
      <c r="E32" s="74" t="n"/>
      <c r="F32" s="72" t="n"/>
      <c r="G32" s="74" t="n"/>
      <c r="H32" s="74" t="n"/>
      <c r="I32" s="74" t="n"/>
      <c r="J32" s="79" t="n"/>
      <c r="K32" s="79" t="n"/>
      <c r="L32" s="126" t="n"/>
      <c r="M32" s="83" t="n"/>
      <c r="N32" s="83" t="n"/>
      <c r="O32" s="84">
        <f>IF(OR(M32="",N32=""),"",SQRT(0.5*(M32^2+N32^2)))</f>
        <v/>
      </c>
      <c r="P32" s="78" t="n"/>
      <c r="Q32" s="85">
        <f>IF(OR(C32="",G32=""),"",G32*C32^2)</f>
        <v/>
      </c>
      <c r="R32" s="81" t="n"/>
      <c r="S32" s="140">
        <f>IF(OR(D32="",D27=""),"",D32/D27)</f>
        <v/>
      </c>
    </row>
    <row r="33">
      <c r="A33" s="133" t="n"/>
      <c r="B33" s="85" t="n"/>
      <c r="C33" s="137" t="n">
        <v>7</v>
      </c>
      <c r="D33" s="74" t="n"/>
      <c r="E33" s="74" t="n"/>
      <c r="F33" s="72" t="n"/>
      <c r="G33" s="74" t="n"/>
      <c r="H33" s="74" t="n"/>
      <c r="I33" s="74" t="n"/>
      <c r="J33" s="79" t="n"/>
      <c r="K33" s="79" t="n"/>
      <c r="L33" s="126" t="n"/>
      <c r="M33" s="83" t="n"/>
      <c r="N33" s="83" t="n"/>
      <c r="O33" s="84">
        <f>IF(OR(M33="",N33=""),"",SQRT(0.5*(M33^2+N33^2)))</f>
        <v/>
      </c>
      <c r="P33" s="78" t="n"/>
      <c r="Q33" s="85">
        <f>IF(OR(C33="",G33=""),"",G33*C33^2)</f>
        <v/>
      </c>
      <c r="R33" s="81" t="n"/>
      <c r="S33" s="140">
        <f>IF(OR(D33="",D27=""),"",D33/D27)</f>
        <v/>
      </c>
    </row>
    <row r="34">
      <c r="A34" s="133" t="n"/>
      <c r="B34" s="85" t="n"/>
      <c r="C34" s="137" t="n">
        <v>8</v>
      </c>
      <c r="D34" s="74" t="n"/>
      <c r="E34" s="74" t="n"/>
      <c r="F34" s="72" t="n"/>
      <c r="G34" s="74" t="n"/>
      <c r="H34" s="74" t="n"/>
      <c r="I34" s="74" t="n"/>
      <c r="J34" s="79" t="n"/>
      <c r="K34" s="79" t="n"/>
      <c r="L34" s="126" t="n"/>
      <c r="M34" s="83" t="n"/>
      <c r="N34" s="83" t="n"/>
      <c r="O34" s="84">
        <f>IF(OR(M34="",N34=""),"",SQRT(0.5*(M34^2+N34^2)))</f>
        <v/>
      </c>
      <c r="P34" s="78" t="n"/>
      <c r="Q34" s="85">
        <f>IF(OR(C34="",G34=""),"",G34*C34^2)</f>
        <v/>
      </c>
      <c r="R34" s="81" t="n"/>
      <c r="S34" s="140">
        <f>IF(OR(D34="",D27=""),"",D34/D27)</f>
        <v/>
      </c>
    </row>
    <row r="35">
      <c r="A35" s="133" t="n"/>
      <c r="B35" s="85" t="n"/>
      <c r="C35" s="137" t="n"/>
      <c r="D35" s="74" t="n"/>
      <c r="E35" s="74" t="n"/>
      <c r="F35" s="72" t="n"/>
      <c r="G35" s="74" t="n"/>
      <c r="H35" s="74" t="n"/>
      <c r="I35" s="74" t="n"/>
      <c r="J35" s="79" t="n"/>
      <c r="K35" s="79" t="n"/>
      <c r="L35" s="126" t="n"/>
      <c r="M35" s="83" t="n"/>
      <c r="N35" s="83" t="n"/>
      <c r="O35" s="84">
        <f>IF(OR(M35="",N35=""),"",SQRT(0.5*(M35^2+N35^2)))</f>
        <v/>
      </c>
      <c r="P35" s="78" t="n"/>
      <c r="Q35" s="85">
        <f>IF(OR(C35="",G35=""),"",G35*C35^2)</f>
        <v/>
      </c>
      <c r="R35" s="81" t="inlineStr">
        <is>
          <t>unused - grid is 1-8 m</t>
        </is>
      </c>
    </row>
    <row r="36">
      <c r="A36" s="133" t="n"/>
      <c r="B36" s="85" t="n"/>
      <c r="C36" s="137" t="n"/>
      <c r="D36" s="74" t="n"/>
      <c r="E36" s="74" t="n"/>
      <c r="F36" s="72" t="n"/>
      <c r="G36" s="74" t="n"/>
      <c r="H36" s="74" t="n"/>
      <c r="I36" s="74" t="n"/>
      <c r="J36" s="79" t="n"/>
      <c r="K36" s="79" t="n"/>
      <c r="L36" s="126" t="n"/>
      <c r="M36" s="83" t="n"/>
      <c r="N36" s="83" t="n"/>
      <c r="O36" s="84">
        <f>IF(OR(M36="",N36=""),"",SQRT(0.5*(M36^2+N36^2)))</f>
        <v/>
      </c>
      <c r="P36" s="78" t="n"/>
      <c r="Q36" s="85">
        <f>IF(OR(C36="",G36=""),"",G36*C36^2)</f>
        <v/>
      </c>
      <c r="R36" s="81" t="inlineStr">
        <is>
          <t>unused - grid is 1-8 m</t>
        </is>
      </c>
    </row>
    <row r="37">
      <c r="A37" s="133" t="inlineStr">
        <is>
          <t>Everlight</t>
        </is>
      </c>
      <c r="B37" s="85" t="n">
        <v>0</v>
      </c>
      <c r="C37" s="86" t="n">
        <v>1</v>
      </c>
      <c r="D37" s="74" t="n"/>
      <c r="E37" s="74" t="n"/>
      <c r="F37" s="72" t="n"/>
      <c r="G37" s="74" t="n"/>
      <c r="H37" s="74" t="n"/>
      <c r="I37" s="74" t="n"/>
      <c r="J37" s="79" t="n"/>
      <c r="K37" s="79" t="n"/>
      <c r="L37" s="126" t="n"/>
      <c r="M37" s="83" t="n"/>
      <c r="N37" s="83" t="n"/>
      <c r="O37" s="84">
        <f>IF(OR(M37="",N37=""),"",SQRT(0.5*(M37^2+N37^2)))</f>
        <v/>
      </c>
      <c r="P37" s="78" t="n"/>
      <c r="Q37" s="85">
        <f>IF(OR(C37="",G37=""),"",G37*C37^2)</f>
        <v/>
      </c>
      <c r="R37" s="81" t="n"/>
      <c r="S37" s="140">
        <f>IF(OR(D37="",D37=""),"",D37/D37)</f>
        <v/>
      </c>
    </row>
    <row r="38">
      <c r="A38" s="138" t="n"/>
      <c r="B38" s="85" t="n"/>
      <c r="C38" s="86" t="n">
        <v>2</v>
      </c>
      <c r="D38" s="74" t="n"/>
      <c r="E38" s="74" t="n"/>
      <c r="F38" s="72" t="n"/>
      <c r="G38" s="74" t="n"/>
      <c r="H38" s="74" t="n"/>
      <c r="I38" s="74" t="n"/>
      <c r="J38" s="79" t="n"/>
      <c r="K38" s="79" t="n"/>
      <c r="L38" s="126" t="n"/>
      <c r="M38" s="83" t="n"/>
      <c r="N38" s="83" t="n"/>
      <c r="O38" s="84">
        <f>IF(OR(M38="",N38=""),"",SQRT(0.5*(M38^2+N38^2)))</f>
        <v/>
      </c>
      <c r="P38" s="78" t="n"/>
      <c r="Q38" s="85">
        <f>IF(OR(C38="",G38=""),"",G38*C38^2)</f>
        <v/>
      </c>
      <c r="R38" s="81" t="n"/>
      <c r="S38" s="140">
        <f>IF(OR(D38="",D37=""),"",D38/D37)</f>
        <v/>
      </c>
    </row>
    <row r="39">
      <c r="A39" s="133" t="n"/>
      <c r="B39" s="85" t="n"/>
      <c r="C39" s="86" t="n">
        <v>3</v>
      </c>
      <c r="D39" s="74" t="n"/>
      <c r="E39" s="74" t="n"/>
      <c r="F39" s="72" t="n"/>
      <c r="G39" s="74" t="n"/>
      <c r="H39" s="74" t="n"/>
      <c r="I39" s="74" t="n"/>
      <c r="J39" s="79" t="n"/>
      <c r="K39" s="79" t="n"/>
      <c r="L39" s="126" t="n"/>
      <c r="M39" s="83" t="n"/>
      <c r="N39" s="83" t="n"/>
      <c r="O39" s="84">
        <f>IF(OR(M39="",N39=""),"",SQRT(0.5*(M39^2+N39^2)))</f>
        <v/>
      </c>
      <c r="P39" s="78" t="n"/>
      <c r="Q39" s="85">
        <f>IF(OR(C39="",G39=""),"",G39*C39^2)</f>
        <v/>
      </c>
      <c r="R39" s="81" t="n"/>
      <c r="S39" s="140">
        <f>IF(OR(D39="",D37=""),"",D39/D37)</f>
        <v/>
      </c>
    </row>
    <row r="40">
      <c r="A40" s="133" t="n"/>
      <c r="B40" s="85" t="n"/>
      <c r="C40" s="86" t="n">
        <v>4</v>
      </c>
      <c r="D40" s="74" t="n"/>
      <c r="E40" s="74" t="n"/>
      <c r="F40" s="72" t="n"/>
      <c r="G40" s="74" t="n"/>
      <c r="H40" s="74" t="n"/>
      <c r="I40" s="74" t="n"/>
      <c r="J40" s="79" t="n"/>
      <c r="K40" s="79" t="n"/>
      <c r="L40" s="126" t="n"/>
      <c r="M40" s="83" t="n"/>
      <c r="N40" s="83" t="n"/>
      <c r="O40" s="84">
        <f>IF(OR(M40="",N40=""),"",SQRT(0.5*(M40^2+N40^2)))</f>
        <v/>
      </c>
      <c r="P40" s="78" t="n"/>
      <c r="Q40" s="85">
        <f>IF(OR(C40="",G40=""),"",G40*C40^2)</f>
        <v/>
      </c>
      <c r="R40" s="81" t="n"/>
      <c r="S40" s="140">
        <f>IF(OR(D40="",D37=""),"",D40/D37)</f>
        <v/>
      </c>
    </row>
    <row r="41">
      <c r="A41" s="133" t="n"/>
      <c r="B41" s="85" t="n"/>
      <c r="C41" s="86" t="n">
        <v>5</v>
      </c>
      <c r="D41" s="74" t="n"/>
      <c r="E41" s="74" t="n"/>
      <c r="F41" s="72" t="n"/>
      <c r="G41" s="74" t="n"/>
      <c r="H41" s="74" t="n"/>
      <c r="I41" s="74" t="n"/>
      <c r="J41" s="79" t="n"/>
      <c r="K41" s="79" t="n"/>
      <c r="L41" s="126" t="n"/>
      <c r="M41" s="83" t="n"/>
      <c r="N41" s="83" t="n"/>
      <c r="O41" s="84">
        <f>IF(OR(M41="",N41=""),"",SQRT(0.5*(M41^2+N41^2)))</f>
        <v/>
      </c>
      <c r="P41" s="78" t="n"/>
      <c r="Q41" s="85">
        <f>IF(OR(C41="",G41=""),"",G41*C41^2)</f>
        <v/>
      </c>
      <c r="R41" s="81" t="n"/>
      <c r="S41" s="140">
        <f>IF(OR(D41="",D37=""),"",D41/D37)</f>
        <v/>
      </c>
    </row>
    <row r="42">
      <c r="A42" s="133" t="n"/>
      <c r="B42" s="85" t="n"/>
      <c r="C42" s="86" t="n">
        <v>6</v>
      </c>
      <c r="D42" s="74" t="n"/>
      <c r="E42" s="74" t="n"/>
      <c r="F42" s="72" t="n"/>
      <c r="G42" s="74" t="n"/>
      <c r="H42" s="74" t="n"/>
      <c r="I42" s="74" t="n"/>
      <c r="J42" s="79" t="n"/>
      <c r="K42" s="79" t="n"/>
      <c r="L42" s="126" t="n"/>
      <c r="M42" s="83" t="n"/>
      <c r="N42" s="83" t="n"/>
      <c r="O42" s="84">
        <f>IF(OR(M42="",N42=""),"",SQRT(0.5*(M42^2+N42^2)))</f>
        <v/>
      </c>
      <c r="P42" s="78" t="n"/>
      <c r="Q42" s="85">
        <f>IF(OR(C42="",G42=""),"",G42*C42^2)</f>
        <v/>
      </c>
      <c r="R42" s="81" t="n"/>
      <c r="S42" s="140">
        <f>IF(OR(D42="",D37=""),"",D42/D37)</f>
        <v/>
      </c>
    </row>
    <row r="43">
      <c r="A43" s="133" t="n"/>
      <c r="B43" s="85" t="n"/>
      <c r="C43" s="86" t="n">
        <v>7</v>
      </c>
      <c r="D43" s="74" t="n"/>
      <c r="E43" s="74" t="n"/>
      <c r="F43" s="72" t="n"/>
      <c r="G43" s="74" t="n"/>
      <c r="H43" s="74" t="n"/>
      <c r="I43" s="74" t="n"/>
      <c r="J43" s="79" t="n"/>
      <c r="K43" s="79" t="n"/>
      <c r="L43" s="126" t="n"/>
      <c r="M43" s="83" t="n"/>
      <c r="N43" s="83" t="n"/>
      <c r="O43" s="84">
        <f>IF(OR(M43="",N43=""),"",SQRT(0.5*(M43^2+N43^2)))</f>
        <v/>
      </c>
      <c r="P43" s="78" t="n"/>
      <c r="Q43" s="85">
        <f>IF(OR(C43="",G43=""),"",G43*C43^2)</f>
        <v/>
      </c>
      <c r="R43" s="81" t="n"/>
      <c r="S43" s="140">
        <f>IF(OR(D43="",D37=""),"",D43/D37)</f>
        <v/>
      </c>
    </row>
    <row r="44">
      <c r="A44" s="133" t="n"/>
      <c r="B44" s="85" t="n"/>
      <c r="C44" s="86" t="n">
        <v>8</v>
      </c>
      <c r="D44" s="74" t="n"/>
      <c r="E44" s="74" t="n"/>
      <c r="F44" s="72" t="n"/>
      <c r="G44" s="74" t="n"/>
      <c r="H44" s="74" t="n"/>
      <c r="I44" s="74" t="n"/>
      <c r="J44" s="79" t="n"/>
      <c r="K44" s="79" t="n"/>
      <c r="L44" s="126" t="n"/>
      <c r="M44" s="83" t="n"/>
      <c r="N44" s="83" t="n"/>
      <c r="O44" s="84">
        <f>IF(OR(M44="",N44=""),"",SQRT(0.5*(M44^2+N44^2)))</f>
        <v/>
      </c>
      <c r="P44" s="78" t="n"/>
      <c r="Q44" s="85">
        <f>IF(OR(C44="",G44=""),"",G44*C44^2)</f>
        <v/>
      </c>
      <c r="R44" s="81" t="n"/>
      <c r="S44" s="140">
        <f>IF(OR(D44="",D37=""),"",D44/D37)</f>
        <v/>
      </c>
    </row>
    <row r="45">
      <c r="A45" s="133" t="n"/>
      <c r="B45" s="85" t="n"/>
      <c r="C45" s="86" t="n"/>
      <c r="D45" s="74" t="n"/>
      <c r="E45" s="74" t="n"/>
      <c r="F45" s="72" t="n"/>
      <c r="G45" s="74" t="n"/>
      <c r="H45" s="74" t="n"/>
      <c r="I45" s="74" t="n"/>
      <c r="J45" s="79" t="n"/>
      <c r="K45" s="79" t="n"/>
      <c r="L45" s="126" t="n"/>
      <c r="M45" s="83" t="n"/>
      <c r="N45" s="83" t="n"/>
      <c r="O45" s="84">
        <f>IF(OR(M45="",N45=""),"",SQRT(0.5*(M45^2+N45^2)))</f>
        <v/>
      </c>
      <c r="P45" s="78" t="n"/>
      <c r="Q45" s="85">
        <f>IF(OR(C45="",G45=""),"",G45*C45^2)</f>
        <v/>
      </c>
      <c r="R45" s="81" t="inlineStr">
        <is>
          <t>unused - grid is 1-8 m</t>
        </is>
      </c>
    </row>
    <row r="46">
      <c r="A46" s="133" t="n"/>
      <c r="B46" s="85" t="n"/>
      <c r="C46" s="86" t="n"/>
      <c r="D46" s="74" t="n"/>
      <c r="E46" s="74" t="n"/>
      <c r="F46" s="72" t="n"/>
      <c r="G46" s="74" t="n"/>
      <c r="H46" s="74" t="n"/>
      <c r="I46" s="74" t="n"/>
      <c r="J46" s="79" t="n"/>
      <c r="K46" s="79" t="n"/>
      <c r="L46" s="126" t="n"/>
      <c r="M46" s="83" t="n"/>
      <c r="N46" s="83" t="n"/>
      <c r="O46" s="84">
        <f>IF(OR(M46="",N46=""),"",SQRT(0.5*(M46^2+N46^2)))</f>
        <v/>
      </c>
      <c r="P46" s="78" t="n"/>
      <c r="Q46" s="85">
        <f>IF(OR(C46="",G46=""),"",G46*C46^2)</f>
        <v/>
      </c>
      <c r="R46" s="81" t="inlineStr">
        <is>
          <t>unused - grid is 1-8 m</t>
        </is>
      </c>
    </row>
    <row r="47">
      <c r="A47" s="128" t="inlineStr">
        <is>
          <t>Vishay</t>
        </is>
      </c>
      <c r="B47" s="100" t="n">
        <v>90</v>
      </c>
      <c r="C47" s="101" t="n">
        <v>1</v>
      </c>
      <c r="D47" s="129" t="n"/>
      <c r="E47" s="129" t="n"/>
      <c r="F47" s="134" t="n"/>
      <c r="G47" s="129" t="n"/>
      <c r="H47" s="129" t="n"/>
      <c r="I47" s="129" t="n"/>
      <c r="J47" s="130" t="n"/>
      <c r="K47" s="130" t="n"/>
      <c r="L47" s="131" t="n"/>
      <c r="M47" s="132" t="n"/>
      <c r="N47" s="132" t="n"/>
      <c r="O47" s="107">
        <f>IF(OR(M47="",N47=""),"",SQRT(0.5*(M47^2+N47^2)))</f>
        <v/>
      </c>
      <c r="P47" s="135" t="n"/>
      <c r="Q47" s="100">
        <f>IF(OR(C47="",G47=""),"",G47*C47^2)</f>
        <v/>
      </c>
      <c r="R47" s="110" t="n"/>
      <c r="S47" s="140">
        <f>IF(OR(D47="",D47=""),"",D47/D47)</f>
        <v/>
      </c>
    </row>
    <row r="48">
      <c r="A48" s="133" t="n"/>
      <c r="B48" s="85" t="n"/>
      <c r="C48" s="86" t="n">
        <v>2</v>
      </c>
      <c r="D48" s="74" t="n"/>
      <c r="E48" s="74" t="n"/>
      <c r="F48" s="72" t="n"/>
      <c r="G48" s="74" t="n"/>
      <c r="H48" s="74" t="n"/>
      <c r="I48" s="74" t="n"/>
      <c r="J48" s="79" t="n"/>
      <c r="K48" s="79" t="n"/>
      <c r="L48" s="126" t="n"/>
      <c r="M48" s="83" t="n"/>
      <c r="N48" s="83" t="n"/>
      <c r="O48" s="84">
        <f>IF(OR(M48="",N48=""),"",SQRT(0.5*(M48^2+N48^2)))</f>
        <v/>
      </c>
      <c r="P48" s="78" t="n"/>
      <c r="Q48" s="85">
        <f>IF(OR(C48="",G48=""),"",G48*C48^2)</f>
        <v/>
      </c>
      <c r="R48" s="81" t="n"/>
      <c r="S48" s="140">
        <f>IF(OR(D48="",D47=""),"",D48/D47)</f>
        <v/>
      </c>
    </row>
    <row r="49">
      <c r="A49" s="133" t="n"/>
      <c r="B49" s="85" t="n"/>
      <c r="C49" s="86" t="n">
        <v>3</v>
      </c>
      <c r="D49" s="74" t="n"/>
      <c r="E49" s="74" t="n"/>
      <c r="F49" s="72" t="n"/>
      <c r="G49" s="74" t="n"/>
      <c r="H49" s="74" t="n"/>
      <c r="I49" s="74" t="n"/>
      <c r="J49" s="79" t="n"/>
      <c r="K49" s="79" t="n"/>
      <c r="L49" s="126" t="n"/>
      <c r="M49" s="83" t="n"/>
      <c r="N49" s="83" t="n"/>
      <c r="O49" s="84">
        <f>IF(OR(M49="",N49=""),"",SQRT(0.5*(M49^2+N49^2)))</f>
        <v/>
      </c>
      <c r="P49" s="78" t="n"/>
      <c r="Q49" s="85">
        <f>IF(OR(C49="",G49=""),"",G49*C49^2)</f>
        <v/>
      </c>
      <c r="R49" s="81" t="n"/>
      <c r="S49" s="140">
        <f>IF(OR(D49="",D47=""),"",D49/D47)</f>
        <v/>
      </c>
    </row>
    <row r="50">
      <c r="A50" s="133" t="n"/>
      <c r="B50" s="85" t="n"/>
      <c r="C50" s="86" t="n">
        <v>4</v>
      </c>
      <c r="D50" s="74" t="n"/>
      <c r="E50" s="74" t="n"/>
      <c r="F50" s="72" t="n"/>
      <c r="G50" s="74" t="n"/>
      <c r="H50" s="74" t="n"/>
      <c r="I50" s="74" t="n"/>
      <c r="J50" s="79" t="n"/>
      <c r="K50" s="79" t="n"/>
      <c r="L50" s="126" t="n"/>
      <c r="M50" s="83" t="n"/>
      <c r="N50" s="83" t="n"/>
      <c r="O50" s="84">
        <f>IF(OR(M50="",N50=""),"",SQRT(0.5*(M50^2+N50^2)))</f>
        <v/>
      </c>
      <c r="P50" s="78" t="n"/>
      <c r="Q50" s="85">
        <f>IF(OR(C50="",G50=""),"",G50*C50^2)</f>
        <v/>
      </c>
      <c r="R50" s="81" t="n"/>
      <c r="S50" s="140">
        <f>IF(OR(D50="",D47=""),"",D50/D47)</f>
        <v/>
      </c>
    </row>
    <row r="51">
      <c r="A51" s="133" t="n"/>
      <c r="B51" s="85" t="n"/>
      <c r="C51" s="86" t="n">
        <v>5</v>
      </c>
      <c r="D51" s="74" t="n"/>
      <c r="E51" s="74" t="n"/>
      <c r="F51" s="72" t="n"/>
      <c r="G51" s="74" t="n"/>
      <c r="H51" s="74" t="n"/>
      <c r="I51" s="74" t="n"/>
      <c r="J51" s="79" t="n"/>
      <c r="K51" s="79" t="n"/>
      <c r="L51" s="126" t="n"/>
      <c r="M51" s="83" t="n"/>
      <c r="N51" s="83" t="n"/>
      <c r="O51" s="84">
        <f>IF(OR(M51="",N51=""),"",SQRT(0.5*(M51^2+N51^2)))</f>
        <v/>
      </c>
      <c r="P51" s="78" t="n"/>
      <c r="Q51" s="85">
        <f>IF(OR(C51="",G51=""),"",G51*C51^2)</f>
        <v/>
      </c>
      <c r="R51" s="81" t="n"/>
      <c r="S51" s="140">
        <f>IF(OR(D51="",D47=""),"",D51/D47)</f>
        <v/>
      </c>
    </row>
    <row r="52">
      <c r="A52" s="133" t="n"/>
      <c r="B52" s="85" t="n"/>
      <c r="C52" s="86" t="n">
        <v>6</v>
      </c>
      <c r="D52" s="74" t="n"/>
      <c r="E52" s="74" t="n"/>
      <c r="F52" s="72" t="n"/>
      <c r="G52" s="74" t="n"/>
      <c r="H52" s="74" t="n"/>
      <c r="I52" s="74" t="n"/>
      <c r="J52" s="79" t="n"/>
      <c r="K52" s="79" t="n"/>
      <c r="L52" s="126" t="n"/>
      <c r="M52" s="83" t="n"/>
      <c r="N52" s="83" t="n"/>
      <c r="O52" s="84">
        <f>IF(OR(M52="",N52=""),"",SQRT(0.5*(M52^2+N52^2)))</f>
        <v/>
      </c>
      <c r="P52" s="78" t="n"/>
      <c r="Q52" s="85">
        <f>IF(OR(C52="",G52=""),"",G52*C52^2)</f>
        <v/>
      </c>
      <c r="R52" s="81" t="n"/>
      <c r="S52" s="140">
        <f>IF(OR(D52="",D47=""),"",D52/D47)</f>
        <v/>
      </c>
    </row>
    <row r="53">
      <c r="A53" s="133" t="n"/>
      <c r="B53" s="85" t="n"/>
      <c r="C53" s="86" t="n">
        <v>7</v>
      </c>
      <c r="D53" s="74" t="n"/>
      <c r="E53" s="74" t="n"/>
      <c r="F53" s="72" t="n"/>
      <c r="G53" s="74" t="n"/>
      <c r="H53" s="74" t="n"/>
      <c r="I53" s="74" t="n"/>
      <c r="J53" s="79" t="n"/>
      <c r="K53" s="79" t="n"/>
      <c r="L53" s="126" t="n"/>
      <c r="M53" s="83" t="n"/>
      <c r="N53" s="83" t="n"/>
      <c r="O53" s="84">
        <f>IF(OR(M53="",N53=""),"",SQRT(0.5*(M53^2+N53^2)))</f>
        <v/>
      </c>
      <c r="P53" s="78" t="n"/>
      <c r="Q53" s="85">
        <f>IF(OR(C53="",G53=""),"",G53*C53^2)</f>
        <v/>
      </c>
      <c r="R53" s="81" t="n"/>
      <c r="S53" s="140">
        <f>IF(OR(D53="",D47=""),"",D53/D47)</f>
        <v/>
      </c>
    </row>
    <row r="54">
      <c r="A54" s="133" t="n"/>
      <c r="B54" s="85" t="n"/>
      <c r="C54" s="86" t="n">
        <v>8</v>
      </c>
      <c r="D54" s="74" t="n"/>
      <c r="E54" s="74" t="n"/>
      <c r="F54" s="72" t="n"/>
      <c r="G54" s="74" t="n"/>
      <c r="H54" s="74" t="n"/>
      <c r="I54" s="74" t="n"/>
      <c r="J54" s="79" t="n"/>
      <c r="K54" s="79" t="n"/>
      <c r="L54" s="126" t="n"/>
      <c r="M54" s="83" t="n"/>
      <c r="N54" s="83" t="n"/>
      <c r="O54" s="84">
        <f>IF(OR(M54="",N54=""),"",SQRT(0.5*(M54^2+N54^2)))</f>
        <v/>
      </c>
      <c r="P54" s="78" t="n"/>
      <c r="Q54" s="85">
        <f>IF(OR(C54="",G54=""),"",G54*C54^2)</f>
        <v/>
      </c>
      <c r="R54" s="81" t="n"/>
      <c r="S54" s="140">
        <f>IF(OR(D54="",D47=""),"",D54/D47)</f>
        <v/>
      </c>
    </row>
    <row r="55">
      <c r="A55" s="133" t="n"/>
      <c r="B55" s="85" t="n"/>
      <c r="C55" s="86" t="n"/>
      <c r="D55" s="74" t="n"/>
      <c r="E55" s="74" t="n"/>
      <c r="F55" s="72" t="n"/>
      <c r="G55" s="74" t="n"/>
      <c r="H55" s="74" t="n"/>
      <c r="I55" s="74" t="n"/>
      <c r="J55" s="79" t="n"/>
      <c r="K55" s="79" t="n"/>
      <c r="L55" s="126" t="n"/>
      <c r="M55" s="83" t="n"/>
      <c r="N55" s="83" t="n"/>
      <c r="O55" s="84">
        <f>IF(OR(M55="",N55=""),"",SQRT(0.5*(M55^2+N55^2)))</f>
        <v/>
      </c>
      <c r="P55" s="78" t="n"/>
      <c r="Q55" s="85">
        <f>IF(OR(C55="",G55=""),"",G55*C55^2)</f>
        <v/>
      </c>
      <c r="R55" s="81" t="inlineStr">
        <is>
          <t>unused - grid is 1-8 m</t>
        </is>
      </c>
    </row>
    <row r="56">
      <c r="A56" s="133" t="n"/>
      <c r="B56" s="85" t="n"/>
      <c r="C56" s="86" t="n"/>
      <c r="D56" s="74" t="n"/>
      <c r="E56" s="74" t="n"/>
      <c r="F56" s="72" t="n"/>
      <c r="G56" s="74" t="n"/>
      <c r="H56" s="74" t="n"/>
      <c r="I56" s="74" t="n"/>
      <c r="J56" s="79" t="n"/>
      <c r="K56" s="79" t="n"/>
      <c r="L56" s="126" t="n"/>
      <c r="M56" s="83" t="n"/>
      <c r="N56" s="83" t="n"/>
      <c r="O56" s="84">
        <f>IF(OR(M56="",N56=""),"",SQRT(0.5*(M56^2+N56^2)))</f>
        <v/>
      </c>
      <c r="P56" s="78" t="n"/>
      <c r="Q56" s="85">
        <f>IF(OR(C56="",G56=""),"",G56*C56^2)</f>
        <v/>
      </c>
      <c r="R56" s="81" t="inlineStr">
        <is>
          <t>unused - grid is 1-8 m</t>
        </is>
      </c>
    </row>
    <row r="57">
      <c r="A57" s="133" t="inlineStr">
        <is>
          <t>Vishay</t>
        </is>
      </c>
      <c r="B57" s="85" t="n">
        <v>0</v>
      </c>
      <c r="C57" s="86" t="n">
        <v>1</v>
      </c>
      <c r="D57" s="74" t="n"/>
      <c r="E57" s="74" t="n"/>
      <c r="F57" s="72" t="n"/>
      <c r="G57" s="74" t="n"/>
      <c r="H57" s="74" t="n"/>
      <c r="I57" s="74" t="n"/>
      <c r="J57" s="79" t="n"/>
      <c r="K57" s="79" t="n"/>
      <c r="L57" s="126" t="n"/>
      <c r="M57" s="83" t="n"/>
      <c r="N57" s="83" t="n"/>
      <c r="O57" s="84">
        <f>IF(OR(M57="",N57=""),"",SQRT(0.5*(M57^2+N57^2)))</f>
        <v/>
      </c>
      <c r="P57" s="78" t="n"/>
      <c r="Q57" s="85">
        <f>IF(OR(C57="",G57=""),"",G57*C57^2)</f>
        <v/>
      </c>
      <c r="R57" s="139" t="n"/>
      <c r="S57" s="140">
        <f>IF(OR(D57="",D57=""),"",D57/D57)</f>
        <v/>
      </c>
    </row>
    <row r="58">
      <c r="A58" s="133" t="n"/>
      <c r="B58" s="85" t="n"/>
      <c r="C58" s="86" t="n">
        <v>2</v>
      </c>
      <c r="D58" s="74" t="n"/>
      <c r="E58" s="74" t="n"/>
      <c r="F58" s="72" t="n"/>
      <c r="G58" s="74" t="n"/>
      <c r="H58" s="74" t="n"/>
      <c r="I58" s="74" t="n"/>
      <c r="J58" s="79" t="n"/>
      <c r="K58" s="79" t="n"/>
      <c r="L58" s="126" t="n"/>
      <c r="M58" s="83" t="n"/>
      <c r="N58" s="83" t="n"/>
      <c r="O58" s="84">
        <f>IF(OR(M58="",N58=""),"",SQRT(0.5*(M58^2+N58^2)))</f>
        <v/>
      </c>
      <c r="P58" s="78" t="n"/>
      <c r="Q58" s="85">
        <f>IF(OR(C58="",G58=""),"",G58*C58^2)</f>
        <v/>
      </c>
      <c r="R58" s="139" t="n"/>
      <c r="S58" s="140">
        <f>IF(OR(D58="",D57=""),"",D58/D57)</f>
        <v/>
      </c>
    </row>
    <row r="59">
      <c r="A59" s="133" t="n"/>
      <c r="B59" s="85" t="n"/>
      <c r="C59" s="86" t="n">
        <v>3</v>
      </c>
      <c r="D59" s="74" t="n"/>
      <c r="E59" s="74" t="n"/>
      <c r="F59" s="72" t="n"/>
      <c r="G59" s="74" t="n"/>
      <c r="H59" s="74" t="n"/>
      <c r="I59" s="74" t="n"/>
      <c r="J59" s="79" t="n"/>
      <c r="K59" s="79" t="n"/>
      <c r="L59" s="126" t="n"/>
      <c r="M59" s="83" t="n"/>
      <c r="N59" s="83" t="n"/>
      <c r="O59" s="84">
        <f>IF(OR(M59="",N59=""),"",SQRT(0.5*(M59^2+N59^2)))</f>
        <v/>
      </c>
      <c r="P59" s="78" t="n"/>
      <c r="Q59" s="85">
        <f>IF(OR(C59="",G59=""),"",G59*C59^2)</f>
        <v/>
      </c>
      <c r="R59" s="139" t="n"/>
      <c r="S59" s="140">
        <f>IF(OR(D59="",D57=""),"",D59/D57)</f>
        <v/>
      </c>
    </row>
    <row r="60">
      <c r="A60" s="133" t="n"/>
      <c r="B60" s="85" t="n"/>
      <c r="C60" s="86" t="n">
        <v>4</v>
      </c>
      <c r="D60" s="74" t="n"/>
      <c r="E60" s="74" t="n"/>
      <c r="F60" s="72" t="n"/>
      <c r="G60" s="74" t="n"/>
      <c r="H60" s="74" t="n"/>
      <c r="I60" s="74" t="n"/>
      <c r="J60" s="79" t="n"/>
      <c r="K60" s="79" t="n"/>
      <c r="L60" s="126" t="n"/>
      <c r="M60" s="83" t="n"/>
      <c r="N60" s="83" t="n"/>
      <c r="O60" s="84">
        <f>IF(OR(M60="",N60=""),"",SQRT(0.5*(M60^2+N60^2)))</f>
        <v/>
      </c>
      <c r="P60" s="78" t="n"/>
      <c r="Q60" s="85">
        <f>IF(OR(C60="",G60=""),"",G60*C60^2)</f>
        <v/>
      </c>
      <c r="R60" s="139" t="n"/>
      <c r="S60" s="140">
        <f>IF(OR(D60="",D57=""),"",D60/D57)</f>
        <v/>
      </c>
    </row>
    <row r="61">
      <c r="A61" s="133" t="n"/>
      <c r="B61" s="85" t="n"/>
      <c r="C61" s="86" t="n">
        <v>5</v>
      </c>
      <c r="D61" s="74" t="n"/>
      <c r="E61" s="74" t="n"/>
      <c r="F61" s="72" t="n"/>
      <c r="G61" s="74" t="n"/>
      <c r="H61" s="74" t="n"/>
      <c r="I61" s="74" t="n"/>
      <c r="J61" s="79" t="n"/>
      <c r="K61" s="79" t="n"/>
      <c r="L61" s="126" t="n"/>
      <c r="M61" s="83" t="n"/>
      <c r="N61" s="83" t="n"/>
      <c r="O61" s="84">
        <f>IF(OR(M61="",N61=""),"",SQRT(0.5*(M61^2+N61^2)))</f>
        <v/>
      </c>
      <c r="P61" s="78" t="n"/>
      <c r="Q61" s="85">
        <f>IF(OR(C61="",G61=""),"",G61*C61^2)</f>
        <v/>
      </c>
      <c r="R61" s="81" t="n"/>
      <c r="S61" s="140">
        <f>IF(OR(D61="",D57=""),"",D61/D57)</f>
        <v/>
      </c>
    </row>
    <row r="62">
      <c r="A62" s="133" t="n"/>
      <c r="B62" s="85" t="n"/>
      <c r="C62" s="86" t="n">
        <v>6</v>
      </c>
      <c r="D62" s="74" t="n"/>
      <c r="E62" s="74" t="n"/>
      <c r="F62" s="72" t="n"/>
      <c r="G62" s="74" t="n"/>
      <c r="H62" s="74" t="n"/>
      <c r="I62" s="74" t="n"/>
      <c r="J62" s="79" t="n"/>
      <c r="K62" s="79" t="n"/>
      <c r="L62" s="126" t="n"/>
      <c r="M62" s="83" t="n"/>
      <c r="N62" s="83" t="n"/>
      <c r="O62" s="84">
        <f>IF(OR(M62="",N62=""),"",SQRT(0.5*(M62^2+N62^2)))</f>
        <v/>
      </c>
      <c r="P62" s="78" t="n"/>
      <c r="Q62" s="85">
        <f>IF(OR(C62="",G62=""),"",G62*C62^2)</f>
        <v/>
      </c>
      <c r="R62" s="81" t="n"/>
      <c r="S62" s="140">
        <f>IF(OR(D62="",D57=""),"",D62/D57)</f>
        <v/>
      </c>
    </row>
    <row r="63">
      <c r="A63" s="133" t="n"/>
      <c r="B63" s="85" t="n"/>
      <c r="C63" s="86" t="n">
        <v>7</v>
      </c>
      <c r="D63" s="74" t="n"/>
      <c r="E63" s="74" t="n"/>
      <c r="F63" s="72" t="n"/>
      <c r="G63" s="74" t="n"/>
      <c r="H63" s="74" t="n"/>
      <c r="I63" s="74" t="n"/>
      <c r="J63" s="79" t="n"/>
      <c r="K63" s="79" t="n"/>
      <c r="L63" s="126" t="n"/>
      <c r="M63" s="83" t="n"/>
      <c r="N63" s="83" t="n"/>
      <c r="O63" s="84">
        <f>IF(OR(M63="",N63=""),"",SQRT(0.5*(M63^2+N63^2)))</f>
        <v/>
      </c>
      <c r="P63" s="78" t="n"/>
      <c r="Q63" s="85">
        <f>IF(OR(C63="",G63=""),"",G63*C63^2)</f>
        <v/>
      </c>
      <c r="R63" s="81" t="n"/>
      <c r="S63" s="140">
        <f>IF(OR(D63="",D57=""),"",D63/D57)</f>
        <v/>
      </c>
    </row>
    <row r="64">
      <c r="A64" s="133" t="n"/>
      <c r="B64" s="85" t="n"/>
      <c r="C64" s="86" t="n">
        <v>8</v>
      </c>
      <c r="D64" s="74" t="n"/>
      <c r="E64" s="74" t="n"/>
      <c r="F64" s="72" t="n"/>
      <c r="G64" s="74" t="n"/>
      <c r="H64" s="74" t="n"/>
      <c r="I64" s="74" t="n"/>
      <c r="J64" s="79" t="n"/>
      <c r="K64" s="79" t="n"/>
      <c r="L64" s="126" t="n"/>
      <c r="M64" s="83" t="n"/>
      <c r="N64" s="83" t="n"/>
      <c r="O64" s="84">
        <f>IF(OR(M64="",N64=""),"",SQRT(0.5*(M64^2+N64^2)))</f>
        <v/>
      </c>
      <c r="P64" s="78" t="n"/>
      <c r="Q64" s="85">
        <f>IF(OR(C64="",G64=""),"",G64*C64^2)</f>
        <v/>
      </c>
      <c r="R64" s="81" t="n"/>
      <c r="S64" s="140">
        <f>IF(OR(D64="",D57=""),"",D64/D57)</f>
        <v/>
      </c>
    </row>
    <row r="65">
      <c r="A65" s="133" t="n"/>
      <c r="B65" s="85" t="n"/>
      <c r="C65" s="86" t="n"/>
      <c r="D65" s="74" t="n"/>
      <c r="E65" s="74" t="n"/>
      <c r="F65" s="72" t="n"/>
      <c r="G65" s="74" t="n"/>
      <c r="H65" s="74" t="n"/>
      <c r="I65" s="74" t="n"/>
      <c r="J65" s="79" t="n"/>
      <c r="K65" s="79" t="n"/>
      <c r="L65" s="126" t="n"/>
      <c r="M65" s="83" t="n"/>
      <c r="N65" s="83" t="n"/>
      <c r="O65" s="84">
        <f>IF(OR(M65="",N65=""),"",SQRT(0.5*(M65^2+N65^2)))</f>
        <v/>
      </c>
      <c r="P65" s="78" t="n"/>
      <c r="Q65" s="85">
        <f>IF(OR(C65="",G65=""),"",G65*C65^2)</f>
        <v/>
      </c>
      <c r="R65" s="81" t="inlineStr">
        <is>
          <t>unused - grid is 1-8 m</t>
        </is>
      </c>
    </row>
    <row r="66">
      <c r="A66" s="133" t="n"/>
      <c r="B66" s="85" t="n"/>
      <c r="C66" s="86" t="n"/>
      <c r="D66" s="74" t="n"/>
      <c r="E66" s="74" t="n"/>
      <c r="F66" s="72" t="n"/>
      <c r="G66" s="74" t="n"/>
      <c r="H66" s="74" t="n"/>
      <c r="I66" s="74" t="n"/>
      <c r="J66" s="79" t="n"/>
      <c r="K66" s="79" t="n"/>
      <c r="L66" s="126" t="n"/>
      <c r="M66" s="83" t="n"/>
      <c r="N66" s="83" t="n"/>
      <c r="O66" s="84">
        <f>IF(OR(M66="",N66=""),"",SQRT(0.5*(M66^2+N66^2)))</f>
        <v/>
      </c>
      <c r="P66" s="78" t="n"/>
      <c r="Q66" s="85">
        <f>IF(OR(C66="",G66=""),"",G66*C66^2)</f>
        <v/>
      </c>
      <c r="R66" s="81" t="inlineStr">
        <is>
          <t>unused - grid is 1-8 m</t>
        </is>
      </c>
    </row>
  </sheetData>
  <pageMargins left="0.75" right="0.75" top="1" bottom="1" header="0.5" footer="0.5"/>
</worksheet>
</file>

<file path=xl/worksheets/sheet7.xml><?xml version="1.0" encoding="utf-8"?>
<worksheet xmlns="http://schemas.openxmlformats.org/spreadsheetml/2006/main">
  <sheetPr>
    <tabColor rgb="FF1F3864"/>
    <outlinePr summaryBelow="1" summaryRight="1"/>
    <pageSetUpPr/>
  </sheetPr>
  <dimension ref="A1:R66"/>
  <sheetViews>
    <sheetView workbookViewId="0">
      <selection activeCell="A1" sqref="A1"/>
    </sheetView>
  </sheetViews>
  <sheetFormatPr baseColWidth="8" defaultRowHeight="15"/>
  <cols>
    <col width="11" customWidth="1" min="1" max="1"/>
    <col width="7" customWidth="1" min="2" max="2"/>
    <col width="9" customWidth="1" min="3" max="3"/>
    <col width="10" customWidth="1" min="4" max="4"/>
    <col width="7" customWidth="1" min="5" max="5"/>
    <col width="7" customWidth="1" min="6" max="6"/>
    <col width="12" customWidth="1" min="7" max="7"/>
    <col width="7" customWidth="1" min="8" max="8"/>
    <col width="7" customWidth="1" min="9" max="9"/>
    <col width="7" customWidth="1" min="10" max="10"/>
    <col width="7" customWidth="1" min="11" max="11"/>
    <col width="8" customWidth="1" min="12" max="12"/>
    <col width="11" customWidth="1" min="13" max="13"/>
    <col width="11" customWidth="1" min="14" max="14"/>
    <col width="12" customWidth="1" min="15" max="15"/>
    <col width="9" customWidth="1" min="16" max="16"/>
    <col width="14" customWidth="1" min="17" max="17"/>
    <col width="30" customWidth="1" min="18" max="18"/>
  </cols>
  <sheetData>
    <row r="1">
      <c r="A1" s="65" t="inlineStr">
        <is>
          <t>TEST C - Range, at 0 deg and 90 deg</t>
        </is>
      </c>
    </row>
    <row r="2">
      <c r="A2" s="66" t="inlineStr">
        <is>
          <t>FROZEN - run 1, 20 Feb daylight session. Superseded: taken on a different (later failing) battery, so the ABSOLUTE exposures are not comparable with run 2. Shape metrics (fill/lobe/w-h) and sigma ARE comparable, being measured at matched peak. Distance grid was 0.7/1.5/2.5...9.5 m.</t>
        </is>
      </c>
    </row>
    <row r="4">
      <c r="A4" s="66" t="inlineStr">
        <is>
          <t>Arena ambient ceiling today: ~14.5 ms in frame, ~40 ms away from the right-hand windows (overcast 16:25).</t>
        </is>
      </c>
    </row>
    <row r="6" ht="34" customHeight="1">
      <c r="A6" s="77" t="inlineStr">
        <is>
          <t>LED Type</t>
        </is>
      </c>
      <c r="B6" s="77" t="inlineStr">
        <is>
          <t>Angle
(deg)</t>
        </is>
      </c>
      <c r="C6" s="77" t="inlineStr">
        <is>
          <t>Distance
(m)</t>
        </is>
      </c>
      <c r="D6" s="77" t="inlineStr">
        <is>
          <t>Exposure
(us)</t>
        </is>
      </c>
      <c r="E6" s="77" t="inlineStr">
        <is>
          <t>Peak</t>
        </is>
      </c>
      <c r="F6" s="77" t="inlineStr">
        <is>
          <t>Sat px</t>
        </is>
      </c>
      <c r="G6" s="77" t="inlineStr">
        <is>
          <t>Sensor area
(px)</t>
        </is>
      </c>
      <c r="H6" s="77" t="inlineStr">
        <is>
          <t>npix</t>
        </is>
      </c>
      <c r="I6" s="77" t="inlineStr">
        <is>
          <t>blobs</t>
        </is>
      </c>
      <c r="J6" s="77" t="inlineStr">
        <is>
          <t>w/h</t>
        </is>
      </c>
      <c r="K6" s="77" t="inlineStr">
        <is>
          <t>Fill</t>
        </is>
      </c>
      <c r="L6" s="77" t="inlineStr">
        <is>
          <t>Lobe</t>
        </is>
      </c>
      <c r="M6" s="77" t="inlineStr">
        <is>
          <t>sigma_u
(px)</t>
        </is>
      </c>
      <c r="N6" s="77" t="inlineStr">
        <is>
          <t>sigma_v
(px)</t>
        </is>
      </c>
      <c r="O6" s="77" t="inlineStr">
        <is>
          <t>sigma_RMS
(px)</t>
        </is>
      </c>
      <c r="P6" s="77" t="inlineStr">
        <is>
          <t>Detected?
(Y/N)</t>
        </is>
      </c>
      <c r="Q6" s="77" t="inlineStr">
        <is>
          <t>area x d^2
(const if resolved)</t>
        </is>
      </c>
      <c r="R6" s="77" t="inlineStr">
        <is>
          <t>Notes</t>
        </is>
      </c>
    </row>
    <row r="7">
      <c r="A7" s="128" t="inlineStr">
        <is>
          <t>XL</t>
        </is>
      </c>
      <c r="B7" s="100" t="n">
        <v>90</v>
      </c>
      <c r="C7" s="136" t="n">
        <v>0.7</v>
      </c>
      <c r="D7" s="129" t="n">
        <v>1997</v>
      </c>
      <c r="E7" s="129" t="n">
        <v>210.2</v>
      </c>
      <c r="F7" s="134" t="n">
        <v>0</v>
      </c>
      <c r="G7" s="129" t="n">
        <v>4999</v>
      </c>
      <c r="H7" s="129" t="n">
        <v>6098</v>
      </c>
      <c r="I7" s="129" t="n">
        <v>1</v>
      </c>
      <c r="J7" s="130" t="n">
        <v>0.9</v>
      </c>
      <c r="K7" s="130" t="n">
        <v>1.51</v>
      </c>
      <c r="L7" s="131" t="n">
        <v>0.115</v>
      </c>
      <c r="M7" s="132" t="n">
        <v>0.0125</v>
      </c>
      <c r="N7" s="132" t="n">
        <v>0.024</v>
      </c>
      <c r="O7" s="107">
        <f>IF(OR(M7="",N7=""),"",SQRT(0.5*(M7^2+N7^2)))</f>
        <v/>
      </c>
      <c r="P7" s="135" t="inlineStr">
        <is>
          <t>Y</t>
        </is>
      </c>
      <c r="Q7" s="100">
        <f>IF(OR(C7="",G7=""),"",G7*C7^2)</f>
        <v/>
      </c>
      <c r="R7" s="110" t="inlineStr">
        <is>
          <t>VGA 640x480 window (blob ~103 px). QVGA compresses at this blob size - black-level depression when the marker fills &gt;10% of frame.</t>
        </is>
      </c>
    </row>
    <row r="8">
      <c r="A8" s="133" t="n"/>
      <c r="B8" s="85" t="n"/>
      <c r="C8" s="137" t="n">
        <v>1.5</v>
      </c>
      <c r="D8" s="74" t="n">
        <v>3187</v>
      </c>
      <c r="E8" s="74" t="n">
        <v>205.2</v>
      </c>
      <c r="F8" s="72" t="n">
        <v>0</v>
      </c>
      <c r="G8" s="74" t="n">
        <v>1732</v>
      </c>
      <c r="H8" s="74" t="n">
        <v>2188</v>
      </c>
      <c r="I8" s="74" t="n">
        <v>1</v>
      </c>
      <c r="J8" s="79" t="n">
        <v>0.92</v>
      </c>
      <c r="K8" s="79" t="n">
        <v>1.56</v>
      </c>
      <c r="L8" s="126" t="n">
        <v>0.074</v>
      </c>
      <c r="M8" s="83" t="n">
        <v>0.0108</v>
      </c>
      <c r="N8" s="83" t="n">
        <v>0.0213</v>
      </c>
      <c r="O8" s="84">
        <f>IF(OR(M8="",N8=""),"",SQRT(0.5*(M8^2+N8^2)))</f>
        <v/>
      </c>
      <c r="P8" s="78" t="inlineStr">
        <is>
          <t>Y</t>
        </is>
      </c>
      <c r="Q8" s="85">
        <f>IF(OR(C8="",G8=""),"",G8*C8^2)</f>
        <v/>
      </c>
      <c r="R8" s="81" t="inlineStr"/>
    </row>
    <row r="9">
      <c r="A9" s="133" t="n"/>
      <c r="B9" s="85" t="n"/>
      <c r="C9" s="137" t="n">
        <v>2.5</v>
      </c>
      <c r="D9" s="74" t="n">
        <v>9760</v>
      </c>
      <c r="E9" s="74" t="n">
        <v>204.8</v>
      </c>
      <c r="F9" s="72" t="n">
        <v>0</v>
      </c>
      <c r="G9" s="74" t="n">
        <v>1267</v>
      </c>
      <c r="H9" s="74" t="n">
        <v>1441</v>
      </c>
      <c r="I9" s="74" t="n">
        <v>1</v>
      </c>
      <c r="J9" s="79" t="n">
        <v>0.97</v>
      </c>
      <c r="K9" s="79" t="n">
        <v>1.19</v>
      </c>
      <c r="L9" s="126" t="n">
        <v>0.065</v>
      </c>
      <c r="M9" s="83" t="n">
        <v>0.0163</v>
      </c>
      <c r="N9" s="83" t="n">
        <v>0.0219</v>
      </c>
      <c r="O9" s="84">
        <f>IF(OR(M9="",N9=""),"",SQRT(0.5*(M9^2+N9^2)))</f>
        <v/>
      </c>
      <c r="P9" s="78" t="inlineStr">
        <is>
          <t>Y</t>
        </is>
      </c>
      <c r="Q9" s="85">
        <f>IF(OR(C9="",G9=""),"",G9*C9^2)</f>
        <v/>
      </c>
      <c r="R9" s="81" t="inlineStr">
        <is>
          <t>Exposure now scaling as d^2 (3.06x for 1.67x distance) - the marker has gone point-like between 1.5 and 2.5 m.</t>
        </is>
      </c>
    </row>
    <row r="10">
      <c r="A10" s="133" t="n"/>
      <c r="B10" s="85" t="n"/>
      <c r="C10" s="137" t="n">
        <v>3.5</v>
      </c>
      <c r="D10" s="74" t="n"/>
      <c r="E10" s="74" t="n"/>
      <c r="F10" s="72" t="n"/>
      <c r="G10" s="74" t="n"/>
      <c r="H10" s="74" t="n"/>
      <c r="I10" s="74" t="n"/>
      <c r="J10" s="79" t="n"/>
      <c r="K10" s="79" t="n"/>
      <c r="L10" s="126" t="n"/>
      <c r="M10" s="83" t="n"/>
      <c r="N10" s="83" t="n"/>
      <c r="O10" s="84">
        <f>IF(OR(M10="",N10=""),"",SQRT(0.5*(M10^2+N10^2)))</f>
        <v/>
      </c>
      <c r="P10" s="78" t="inlineStr">
        <is>
          <t>N</t>
        </is>
      </c>
      <c r="Q10" s="85">
        <f>IF(OR(C10="",G10=""),"",G10*C10^2)</f>
        <v/>
      </c>
      <c r="R10" s="81" t="inlineStr">
        <is>
          <t>AMBIENT-LIMITED, not marker-limited. Targeting ran to 101702 us (7x the ~14.5 ms arena ceiling) and locked onto window light: blobs 3, w/h 1.59, lobe 0.787 - not a marker. XL at 90 deg is unusable beyond ~2.5-3 m under this afternoon's overcast. Re-measure at night.  NOT DETECTED</t>
        </is>
      </c>
    </row>
    <row r="11">
      <c r="A11" s="133" t="n"/>
      <c r="B11" s="85" t="n"/>
      <c r="C11" s="137" t="n">
        <v>4.5</v>
      </c>
      <c r="D11" s="74" t="n"/>
      <c r="E11" s="74" t="n"/>
      <c r="F11" s="72" t="n"/>
      <c r="G11" s="74" t="n"/>
      <c r="H11" s="74" t="n"/>
      <c r="I11" s="74" t="n"/>
      <c r="J11" s="79" t="n"/>
      <c r="K11" s="79" t="n"/>
      <c r="L11" s="126" t="n"/>
      <c r="M11" s="83" t="n"/>
      <c r="N11" s="83" t="n"/>
      <c r="O11" s="84">
        <f>IF(OR(M11="",N11=""),"",SQRT(0.5*(M11^2+N11^2)))</f>
        <v/>
      </c>
      <c r="P11" s="78" t="n"/>
      <c r="Q11" s="85">
        <f>IF(OR(C11="",G11=""),"",G11*C11^2)</f>
        <v/>
      </c>
      <c r="R11" s="81" t="n"/>
    </row>
    <row r="12">
      <c r="A12" s="133" t="n"/>
      <c r="B12" s="85" t="n"/>
      <c r="C12" s="137" t="n">
        <v>5.5</v>
      </c>
      <c r="D12" s="74" t="n"/>
      <c r="E12" s="74" t="n"/>
      <c r="F12" s="72" t="n"/>
      <c r="G12" s="74" t="n"/>
      <c r="H12" s="74" t="n"/>
      <c r="I12" s="74" t="n"/>
      <c r="J12" s="79" t="n"/>
      <c r="K12" s="79" t="n"/>
      <c r="L12" s="126" t="n"/>
      <c r="M12" s="83" t="n"/>
      <c r="N12" s="83" t="n"/>
      <c r="O12" s="84">
        <f>IF(OR(M12="",N12=""),"",SQRT(0.5*(M12^2+N12^2)))</f>
        <v/>
      </c>
      <c r="P12" s="78" t="n"/>
      <c r="Q12" s="85">
        <f>IF(OR(C12="",G12=""),"",G12*C12^2)</f>
        <v/>
      </c>
      <c r="R12" s="81" t="n"/>
    </row>
    <row r="13">
      <c r="A13" s="133" t="n"/>
      <c r="B13" s="85" t="n"/>
      <c r="C13" s="137" t="n">
        <v>6.5</v>
      </c>
      <c r="D13" s="74" t="n"/>
      <c r="E13" s="74" t="n"/>
      <c r="F13" s="72" t="n"/>
      <c r="G13" s="74" t="n"/>
      <c r="H13" s="74" t="n"/>
      <c r="I13" s="74" t="n"/>
      <c r="J13" s="79" t="n"/>
      <c r="K13" s="79" t="n"/>
      <c r="L13" s="126" t="n"/>
      <c r="M13" s="83" t="n"/>
      <c r="N13" s="83" t="n"/>
      <c r="O13" s="84">
        <f>IF(OR(M13="",N13=""),"",SQRT(0.5*(M13^2+N13^2)))</f>
        <v/>
      </c>
      <c r="P13" s="78" t="n"/>
      <c r="Q13" s="85">
        <f>IF(OR(C13="",G13=""),"",G13*C13^2)</f>
        <v/>
      </c>
      <c r="R13" s="81" t="n"/>
    </row>
    <row r="14">
      <c r="A14" s="133" t="n"/>
      <c r="B14" s="85" t="n"/>
      <c r="C14" s="137" t="n">
        <v>7.5</v>
      </c>
      <c r="D14" s="74" t="n"/>
      <c r="E14" s="74" t="n"/>
      <c r="F14" s="72" t="n"/>
      <c r="G14" s="74" t="n"/>
      <c r="H14" s="74" t="n"/>
      <c r="I14" s="74" t="n"/>
      <c r="J14" s="79" t="n"/>
      <c r="K14" s="79" t="n"/>
      <c r="L14" s="126" t="n"/>
      <c r="M14" s="83" t="n"/>
      <c r="N14" s="83" t="n"/>
      <c r="O14" s="84">
        <f>IF(OR(M14="",N14=""),"",SQRT(0.5*(M14^2+N14^2)))</f>
        <v/>
      </c>
      <c r="P14" s="78" t="n"/>
      <c r="Q14" s="85">
        <f>IF(OR(C14="",G14=""),"",G14*C14^2)</f>
        <v/>
      </c>
      <c r="R14" s="81" t="n"/>
    </row>
    <row r="15">
      <c r="A15" s="133" t="n"/>
      <c r="B15" s="85" t="n"/>
      <c r="C15" s="137" t="n">
        <v>8.5</v>
      </c>
      <c r="D15" s="74" t="n"/>
      <c r="E15" s="74" t="n"/>
      <c r="F15" s="72" t="n"/>
      <c r="G15" s="74" t="n"/>
      <c r="H15" s="74" t="n"/>
      <c r="I15" s="74" t="n"/>
      <c r="J15" s="79" t="n"/>
      <c r="K15" s="79" t="n"/>
      <c r="L15" s="126" t="n"/>
      <c r="M15" s="83" t="n"/>
      <c r="N15" s="83" t="n"/>
      <c r="O15" s="84">
        <f>IF(OR(M15="",N15=""),"",SQRT(0.5*(M15^2+N15^2)))</f>
        <v/>
      </c>
      <c r="P15" s="78" t="n"/>
      <c r="Q15" s="85">
        <f>IF(OR(C15="",G15=""),"",G15*C15^2)</f>
        <v/>
      </c>
      <c r="R15" s="81" t="n"/>
    </row>
    <row r="16">
      <c r="A16" s="133" t="n"/>
      <c r="B16" s="85" t="n"/>
      <c r="C16" s="137" t="n">
        <v>9.5</v>
      </c>
      <c r="D16" s="74" t="n"/>
      <c r="E16" s="74" t="n"/>
      <c r="F16" s="72" t="n"/>
      <c r="G16" s="74" t="n"/>
      <c r="H16" s="74" t="n"/>
      <c r="I16" s="74" t="n"/>
      <c r="J16" s="79" t="n"/>
      <c r="K16" s="79" t="n"/>
      <c r="L16" s="126" t="n"/>
      <c r="M16" s="83" t="n"/>
      <c r="N16" s="83" t="n"/>
      <c r="O16" s="84">
        <f>IF(OR(M16="",N16=""),"",SQRT(0.5*(M16^2+N16^2)))</f>
        <v/>
      </c>
      <c r="P16" s="78" t="n"/>
      <c r="Q16" s="85">
        <f>IF(OR(C16="",G16=""),"",G16*C16^2)</f>
        <v/>
      </c>
      <c r="R16" s="81" t="n"/>
    </row>
    <row r="17">
      <c r="A17" s="133" t="inlineStr">
        <is>
          <t>XL</t>
        </is>
      </c>
      <c r="B17" s="85" t="n">
        <v>0</v>
      </c>
      <c r="C17" s="137" t="n">
        <v>0.7</v>
      </c>
      <c r="D17" s="74" t="n"/>
      <c r="E17" s="74" t="n"/>
      <c r="F17" s="72" t="n"/>
      <c r="G17" s="74" t="n"/>
      <c r="H17" s="74" t="n"/>
      <c r="I17" s="74" t="n"/>
      <c r="J17" s="79" t="n"/>
      <c r="K17" s="79" t="n"/>
      <c r="L17" s="126" t="n"/>
      <c r="M17" s="83" t="n"/>
      <c r="N17" s="83" t="n"/>
      <c r="O17" s="84">
        <f>IF(OR(M17="",N17=""),"",SQRT(0.5*(M17^2+N17^2)))</f>
        <v/>
      </c>
      <c r="P17" s="78" t="n"/>
      <c r="Q17" s="85">
        <f>IF(OR(C17="",G17=""),"",G17*C17^2)</f>
        <v/>
      </c>
      <c r="R17" s="81" t="n"/>
    </row>
    <row r="18">
      <c r="A18" s="133" t="n"/>
      <c r="B18" s="85" t="n"/>
      <c r="C18" s="137" t="n">
        <v>1.5</v>
      </c>
      <c r="D18" s="74" t="n"/>
      <c r="E18" s="74" t="n"/>
      <c r="F18" s="72" t="n"/>
      <c r="G18" s="74" t="n"/>
      <c r="H18" s="74" t="n"/>
      <c r="I18" s="74" t="n"/>
      <c r="J18" s="79" t="n"/>
      <c r="K18" s="79" t="n"/>
      <c r="L18" s="126" t="n"/>
      <c r="M18" s="83" t="n"/>
      <c r="N18" s="83" t="n"/>
      <c r="O18" s="84">
        <f>IF(OR(M18="",N18=""),"",SQRT(0.5*(M18^2+N18^2)))</f>
        <v/>
      </c>
      <c r="P18" s="78" t="n"/>
      <c r="Q18" s="85">
        <f>IF(OR(C18="",G18=""),"",G18*C18^2)</f>
        <v/>
      </c>
      <c r="R18" s="81" t="n"/>
    </row>
    <row r="19">
      <c r="A19" s="133" t="n"/>
      <c r="B19" s="85" t="n"/>
      <c r="C19" s="137" t="n">
        <v>2.5</v>
      </c>
      <c r="D19" s="74" t="n"/>
      <c r="E19" s="74" t="n"/>
      <c r="F19" s="72" t="n"/>
      <c r="G19" s="74" t="n"/>
      <c r="H19" s="74" t="n"/>
      <c r="I19" s="74" t="n"/>
      <c r="J19" s="79" t="n"/>
      <c r="K19" s="79" t="n"/>
      <c r="L19" s="126" t="n"/>
      <c r="M19" s="83" t="n"/>
      <c r="N19" s="83" t="n"/>
      <c r="O19" s="84">
        <f>IF(OR(M19="",N19=""),"",SQRT(0.5*(M19^2+N19^2)))</f>
        <v/>
      </c>
      <c r="P19" s="78" t="n"/>
      <c r="Q19" s="85">
        <f>IF(OR(C19="",G19=""),"",G19*C19^2)</f>
        <v/>
      </c>
      <c r="R19" s="81" t="n"/>
    </row>
    <row r="20">
      <c r="A20" s="133" t="n"/>
      <c r="B20" s="85" t="n"/>
      <c r="C20" s="137" t="n">
        <v>3.5</v>
      </c>
      <c r="D20" s="74" t="n"/>
      <c r="E20" s="74" t="n"/>
      <c r="F20" s="72" t="n"/>
      <c r="G20" s="74" t="n"/>
      <c r="H20" s="74" t="n"/>
      <c r="I20" s="74" t="n"/>
      <c r="J20" s="79" t="n"/>
      <c r="K20" s="79" t="n"/>
      <c r="L20" s="126" t="n"/>
      <c r="M20" s="83" t="n"/>
      <c r="N20" s="83" t="n"/>
      <c r="O20" s="84">
        <f>IF(OR(M20="",N20=""),"",SQRT(0.5*(M20^2+N20^2)))</f>
        <v/>
      </c>
      <c r="P20" s="78" t="n"/>
      <c r="Q20" s="85">
        <f>IF(OR(C20="",G20=""),"",G20*C20^2)</f>
        <v/>
      </c>
      <c r="R20" s="81" t="n"/>
    </row>
    <row r="21">
      <c r="A21" s="133" t="n"/>
      <c r="B21" s="85" t="n"/>
      <c r="C21" s="137" t="n">
        <v>4.5</v>
      </c>
      <c r="D21" s="74" t="n"/>
      <c r="E21" s="74" t="n"/>
      <c r="F21" s="72" t="n"/>
      <c r="G21" s="74" t="n"/>
      <c r="H21" s="74" t="n"/>
      <c r="I21" s="74" t="n"/>
      <c r="J21" s="79" t="n"/>
      <c r="K21" s="79" t="n"/>
      <c r="L21" s="126" t="n"/>
      <c r="M21" s="83" t="n"/>
      <c r="N21" s="83" t="n"/>
      <c r="O21" s="84">
        <f>IF(OR(M21="",N21=""),"",SQRT(0.5*(M21^2+N21^2)))</f>
        <v/>
      </c>
      <c r="P21" s="78" t="n"/>
      <c r="Q21" s="85">
        <f>IF(OR(C21="",G21=""),"",G21*C21^2)</f>
        <v/>
      </c>
      <c r="R21" s="81" t="n"/>
    </row>
    <row r="22">
      <c r="A22" s="133" t="n"/>
      <c r="B22" s="85" t="n"/>
      <c r="C22" s="137" t="n">
        <v>5.5</v>
      </c>
      <c r="D22" s="74" t="n"/>
      <c r="E22" s="74" t="n"/>
      <c r="F22" s="72" t="n"/>
      <c r="G22" s="74" t="n"/>
      <c r="H22" s="74" t="n"/>
      <c r="I22" s="74" t="n"/>
      <c r="J22" s="79" t="n"/>
      <c r="K22" s="79" t="n"/>
      <c r="L22" s="126" t="n"/>
      <c r="M22" s="83" t="n"/>
      <c r="N22" s="83" t="n"/>
      <c r="O22" s="84">
        <f>IF(OR(M22="",N22=""),"",SQRT(0.5*(M22^2+N22^2)))</f>
        <v/>
      </c>
      <c r="P22" s="78" t="n"/>
      <c r="Q22" s="85">
        <f>IF(OR(C22="",G22=""),"",G22*C22^2)</f>
        <v/>
      </c>
      <c r="R22" s="81" t="n"/>
    </row>
    <row r="23">
      <c r="A23" s="133" t="n"/>
      <c r="B23" s="85" t="n"/>
      <c r="C23" s="137" t="n">
        <v>6.5</v>
      </c>
      <c r="D23" s="74" t="n"/>
      <c r="E23" s="74" t="n"/>
      <c r="F23" s="72" t="n"/>
      <c r="G23" s="74" t="n"/>
      <c r="H23" s="74" t="n"/>
      <c r="I23" s="74" t="n"/>
      <c r="J23" s="79" t="n"/>
      <c r="K23" s="79" t="n"/>
      <c r="L23" s="126" t="n"/>
      <c r="M23" s="83" t="n"/>
      <c r="N23" s="83" t="n"/>
      <c r="O23" s="84">
        <f>IF(OR(M23="",N23=""),"",SQRT(0.5*(M23^2+N23^2)))</f>
        <v/>
      </c>
      <c r="P23" s="78" t="n"/>
      <c r="Q23" s="85">
        <f>IF(OR(C23="",G23=""),"",G23*C23^2)</f>
        <v/>
      </c>
      <c r="R23" s="81" t="n"/>
    </row>
    <row r="24">
      <c r="A24" s="133" t="n"/>
      <c r="B24" s="85" t="n"/>
      <c r="C24" s="137" t="n">
        <v>7.5</v>
      </c>
      <c r="D24" s="74" t="n"/>
      <c r="E24" s="74" t="n"/>
      <c r="F24" s="72" t="n"/>
      <c r="G24" s="74" t="n"/>
      <c r="H24" s="74" t="n"/>
      <c r="I24" s="74" t="n"/>
      <c r="J24" s="79" t="n"/>
      <c r="K24" s="79" t="n"/>
      <c r="L24" s="126" t="n"/>
      <c r="M24" s="83" t="n"/>
      <c r="N24" s="83" t="n"/>
      <c r="O24" s="84">
        <f>IF(OR(M24="",N24=""),"",SQRT(0.5*(M24^2+N24^2)))</f>
        <v/>
      </c>
      <c r="P24" s="78" t="n"/>
      <c r="Q24" s="85">
        <f>IF(OR(C24="",G24=""),"",G24*C24^2)</f>
        <v/>
      </c>
      <c r="R24" s="81" t="n"/>
    </row>
    <row r="25">
      <c r="A25" s="133" t="n"/>
      <c r="B25" s="85" t="n"/>
      <c r="C25" s="137" t="n">
        <v>8.5</v>
      </c>
      <c r="D25" s="74" t="n"/>
      <c r="E25" s="74" t="n"/>
      <c r="F25" s="72" t="n"/>
      <c r="G25" s="74" t="n"/>
      <c r="H25" s="74" t="n"/>
      <c r="I25" s="74" t="n"/>
      <c r="J25" s="79" t="n"/>
      <c r="K25" s="79" t="n"/>
      <c r="L25" s="126" t="n"/>
      <c r="M25" s="83" t="n"/>
      <c r="N25" s="83" t="n"/>
      <c r="O25" s="84">
        <f>IF(OR(M25="",N25=""),"",SQRT(0.5*(M25^2+N25^2)))</f>
        <v/>
      </c>
      <c r="P25" s="78" t="n"/>
      <c r="Q25" s="85">
        <f>IF(OR(C25="",G25=""),"",G25*C25^2)</f>
        <v/>
      </c>
      <c r="R25" s="81" t="n"/>
    </row>
    <row r="26">
      <c r="A26" s="133" t="n"/>
      <c r="B26" s="85" t="n"/>
      <c r="C26" s="137" t="n">
        <v>9.5</v>
      </c>
      <c r="D26" s="74" t="n"/>
      <c r="E26" s="74" t="n"/>
      <c r="F26" s="72" t="n"/>
      <c r="G26" s="74" t="n"/>
      <c r="H26" s="74" t="n"/>
      <c r="I26" s="74" t="n"/>
      <c r="J26" s="79" t="n"/>
      <c r="K26" s="79" t="n"/>
      <c r="L26" s="126" t="n"/>
      <c r="M26" s="83" t="n"/>
      <c r="N26" s="83" t="n"/>
      <c r="O26" s="84">
        <f>IF(OR(M26="",N26=""),"",SQRT(0.5*(M26^2+N26^2)))</f>
        <v/>
      </c>
      <c r="P26" s="78" t="n"/>
      <c r="Q26" s="85">
        <f>IF(OR(C26="",G26=""),"",G26*C26^2)</f>
        <v/>
      </c>
      <c r="R26" s="81" t="n"/>
    </row>
    <row r="27">
      <c r="A27" s="128" t="inlineStr">
        <is>
          <t>Everlight</t>
        </is>
      </c>
      <c r="B27" s="100" t="n">
        <v>90</v>
      </c>
      <c r="C27" s="136" t="n">
        <v>0.7</v>
      </c>
      <c r="D27" s="129" t="n"/>
      <c r="E27" s="129" t="n"/>
      <c r="F27" s="134" t="n"/>
      <c r="G27" s="129" t="n"/>
      <c r="H27" s="129" t="n"/>
      <c r="I27" s="129" t="n"/>
      <c r="J27" s="130" t="n"/>
      <c r="K27" s="130" t="n"/>
      <c r="L27" s="131" t="n"/>
      <c r="M27" s="132" t="n"/>
      <c r="N27" s="132" t="n"/>
      <c r="O27" s="107">
        <f>IF(OR(M27="",N27=""),"",SQRT(0.5*(M27^2+N27^2)))</f>
        <v/>
      </c>
      <c r="P27" s="135" t="n"/>
      <c r="Q27" s="100">
        <f>IF(OR(C27="",G27=""),"",G27*C27^2)</f>
        <v/>
      </c>
      <c r="R27" s="110" t="n"/>
    </row>
    <row r="28">
      <c r="A28" s="133" t="n"/>
      <c r="B28" s="85" t="n"/>
      <c r="C28" s="137" t="n">
        <v>1.5</v>
      </c>
      <c r="D28" s="74" t="n"/>
      <c r="E28" s="74" t="n"/>
      <c r="F28" s="72" t="n"/>
      <c r="G28" s="74" t="n"/>
      <c r="H28" s="74" t="n"/>
      <c r="I28" s="74" t="n"/>
      <c r="J28" s="79" t="n"/>
      <c r="K28" s="79" t="n"/>
      <c r="L28" s="126" t="n"/>
      <c r="M28" s="83" t="n"/>
      <c r="N28" s="83" t="n"/>
      <c r="O28" s="84">
        <f>IF(OR(M28="",N28=""),"",SQRT(0.5*(M28^2+N28^2)))</f>
        <v/>
      </c>
      <c r="P28" s="78" t="n"/>
      <c r="Q28" s="85">
        <f>IF(OR(C28="",G28=""),"",G28*C28^2)</f>
        <v/>
      </c>
      <c r="R28" s="81" t="n"/>
    </row>
    <row r="29">
      <c r="A29" s="133" t="n"/>
      <c r="B29" s="85" t="n"/>
      <c r="C29" s="137" t="n">
        <v>2.5</v>
      </c>
      <c r="D29" s="74" t="n"/>
      <c r="E29" s="74" t="n"/>
      <c r="F29" s="72" t="n"/>
      <c r="G29" s="74" t="n"/>
      <c r="H29" s="74" t="n"/>
      <c r="I29" s="74" t="n"/>
      <c r="J29" s="79" t="n"/>
      <c r="K29" s="79" t="n"/>
      <c r="L29" s="126" t="n"/>
      <c r="M29" s="83" t="n"/>
      <c r="N29" s="83" t="n"/>
      <c r="O29" s="84">
        <f>IF(OR(M29="",N29=""),"",SQRT(0.5*(M29^2+N29^2)))</f>
        <v/>
      </c>
      <c r="P29" s="78" t="n"/>
      <c r="Q29" s="85">
        <f>IF(OR(C29="",G29=""),"",G29*C29^2)</f>
        <v/>
      </c>
      <c r="R29" s="81" t="n"/>
    </row>
    <row r="30">
      <c r="A30" s="133" t="n"/>
      <c r="B30" s="85" t="n"/>
      <c r="C30" s="137" t="n">
        <v>3.5</v>
      </c>
      <c r="D30" s="74" t="n"/>
      <c r="E30" s="74" t="n"/>
      <c r="F30" s="72" t="n"/>
      <c r="G30" s="74" t="n"/>
      <c r="H30" s="74" t="n"/>
      <c r="I30" s="74" t="n"/>
      <c r="J30" s="79" t="n"/>
      <c r="K30" s="79" t="n"/>
      <c r="L30" s="126" t="n"/>
      <c r="M30" s="83" t="n"/>
      <c r="N30" s="83" t="n"/>
      <c r="O30" s="84">
        <f>IF(OR(M30="",N30=""),"",SQRT(0.5*(M30^2+N30^2)))</f>
        <v/>
      </c>
      <c r="P30" s="78" t="n"/>
      <c r="Q30" s="85">
        <f>IF(OR(C30="",G30=""),"",G30*C30^2)</f>
        <v/>
      </c>
      <c r="R30" s="81" t="n"/>
    </row>
    <row r="31">
      <c r="A31" s="133" t="n"/>
      <c r="B31" s="85" t="n"/>
      <c r="C31" s="137" t="n">
        <v>4.5</v>
      </c>
      <c r="D31" s="74" t="n"/>
      <c r="E31" s="74" t="n"/>
      <c r="F31" s="72" t="n"/>
      <c r="G31" s="74" t="n"/>
      <c r="H31" s="74" t="n"/>
      <c r="I31" s="74" t="n"/>
      <c r="J31" s="79" t="n"/>
      <c r="K31" s="79" t="n"/>
      <c r="L31" s="126" t="n"/>
      <c r="M31" s="83" t="n"/>
      <c r="N31" s="83" t="n"/>
      <c r="O31" s="84">
        <f>IF(OR(M31="",N31=""),"",SQRT(0.5*(M31^2+N31^2)))</f>
        <v/>
      </c>
      <c r="P31" s="78" t="n"/>
      <c r="Q31" s="85">
        <f>IF(OR(C31="",G31=""),"",G31*C31^2)</f>
        <v/>
      </c>
      <c r="R31" s="81" t="n"/>
    </row>
    <row r="32">
      <c r="A32" s="133" t="n"/>
      <c r="B32" s="85" t="n"/>
      <c r="C32" s="137" t="n">
        <v>5.5</v>
      </c>
      <c r="D32" s="74" t="n"/>
      <c r="E32" s="74" t="n"/>
      <c r="F32" s="72" t="n"/>
      <c r="G32" s="74" t="n"/>
      <c r="H32" s="74" t="n"/>
      <c r="I32" s="74" t="n"/>
      <c r="J32" s="79" t="n"/>
      <c r="K32" s="79" t="n"/>
      <c r="L32" s="126" t="n"/>
      <c r="M32" s="83" t="n"/>
      <c r="N32" s="83" t="n"/>
      <c r="O32" s="84">
        <f>IF(OR(M32="",N32=""),"",SQRT(0.5*(M32^2+N32^2)))</f>
        <v/>
      </c>
      <c r="P32" s="78" t="n"/>
      <c r="Q32" s="85">
        <f>IF(OR(C32="",G32=""),"",G32*C32^2)</f>
        <v/>
      </c>
      <c r="R32" s="81" t="n"/>
    </row>
    <row r="33">
      <c r="A33" s="133" t="n"/>
      <c r="B33" s="85" t="n"/>
      <c r="C33" s="137" t="n">
        <v>6.5</v>
      </c>
      <c r="D33" s="74" t="n"/>
      <c r="E33" s="74" t="n"/>
      <c r="F33" s="72" t="n"/>
      <c r="G33" s="74" t="n"/>
      <c r="H33" s="74" t="n"/>
      <c r="I33" s="74" t="n"/>
      <c r="J33" s="79" t="n"/>
      <c r="K33" s="79" t="n"/>
      <c r="L33" s="126" t="n"/>
      <c r="M33" s="83" t="n"/>
      <c r="N33" s="83" t="n"/>
      <c r="O33" s="84">
        <f>IF(OR(M33="",N33=""),"",SQRT(0.5*(M33^2+N33^2)))</f>
        <v/>
      </c>
      <c r="P33" s="78" t="n"/>
      <c r="Q33" s="85">
        <f>IF(OR(C33="",G33=""),"",G33*C33^2)</f>
        <v/>
      </c>
      <c r="R33" s="81" t="n"/>
    </row>
    <row r="34">
      <c r="A34" s="133" t="n"/>
      <c r="B34" s="85" t="n"/>
      <c r="C34" s="137" t="n">
        <v>7.5</v>
      </c>
      <c r="D34" s="74" t="n"/>
      <c r="E34" s="74" t="n"/>
      <c r="F34" s="72" t="n"/>
      <c r="G34" s="74" t="n"/>
      <c r="H34" s="74" t="n"/>
      <c r="I34" s="74" t="n"/>
      <c r="J34" s="79" t="n"/>
      <c r="K34" s="79" t="n"/>
      <c r="L34" s="126" t="n"/>
      <c r="M34" s="83" t="n"/>
      <c r="N34" s="83" t="n"/>
      <c r="O34" s="84">
        <f>IF(OR(M34="",N34=""),"",SQRT(0.5*(M34^2+N34^2)))</f>
        <v/>
      </c>
      <c r="P34" s="78" t="n"/>
      <c r="Q34" s="85">
        <f>IF(OR(C34="",G34=""),"",G34*C34^2)</f>
        <v/>
      </c>
      <c r="R34" s="81" t="n"/>
    </row>
    <row r="35">
      <c r="A35" s="133" t="n"/>
      <c r="B35" s="85" t="n"/>
      <c r="C35" s="137" t="n">
        <v>8.5</v>
      </c>
      <c r="D35" s="74" t="n"/>
      <c r="E35" s="74" t="n"/>
      <c r="F35" s="72" t="n"/>
      <c r="G35" s="74" t="n"/>
      <c r="H35" s="74" t="n"/>
      <c r="I35" s="74" t="n"/>
      <c r="J35" s="79" t="n"/>
      <c r="K35" s="79" t="n"/>
      <c r="L35" s="126" t="n"/>
      <c r="M35" s="83" t="n"/>
      <c r="N35" s="83" t="n"/>
      <c r="O35" s="84">
        <f>IF(OR(M35="",N35=""),"",SQRT(0.5*(M35^2+N35^2)))</f>
        <v/>
      </c>
      <c r="P35" s="78" t="n"/>
      <c r="Q35" s="85">
        <f>IF(OR(C35="",G35=""),"",G35*C35^2)</f>
        <v/>
      </c>
      <c r="R35" s="81" t="n"/>
    </row>
    <row r="36">
      <c r="A36" s="133" t="n"/>
      <c r="B36" s="85" t="n"/>
      <c r="C36" s="137" t="n">
        <v>9.5</v>
      </c>
      <c r="D36" s="74" t="n"/>
      <c r="E36" s="74" t="n"/>
      <c r="F36" s="72" t="n"/>
      <c r="G36" s="74" t="n"/>
      <c r="H36" s="74" t="n"/>
      <c r="I36" s="74" t="n"/>
      <c r="J36" s="79" t="n"/>
      <c r="K36" s="79" t="n"/>
      <c r="L36" s="126" t="n"/>
      <c r="M36" s="83" t="n"/>
      <c r="N36" s="83" t="n"/>
      <c r="O36" s="84">
        <f>IF(OR(M36="",N36=""),"",SQRT(0.5*(M36^2+N36^2)))</f>
        <v/>
      </c>
      <c r="P36" s="78" t="n"/>
      <c r="Q36" s="85">
        <f>IF(OR(C36="",G36=""),"",G36*C36^2)</f>
        <v/>
      </c>
      <c r="R36" s="81" t="n"/>
    </row>
    <row r="37">
      <c r="A37" s="133" t="inlineStr">
        <is>
          <t>Everlight</t>
        </is>
      </c>
      <c r="B37" s="85" t="n">
        <v>0</v>
      </c>
      <c r="C37" s="86" t="n">
        <v>0.7</v>
      </c>
      <c r="D37" s="74" t="n"/>
      <c r="E37" s="74" t="n"/>
      <c r="F37" s="72" t="n"/>
      <c r="G37" s="74" t="n"/>
      <c r="H37" s="74" t="n"/>
      <c r="I37" s="74" t="n"/>
      <c r="J37" s="79" t="n"/>
      <c r="K37" s="79" t="n"/>
      <c r="L37" s="126" t="n"/>
      <c r="M37" s="83" t="n"/>
      <c r="N37" s="83" t="n"/>
      <c r="O37" s="84">
        <f>IF(OR(M37="",N37=""),"",SQRT(0.5*(M37^2+N37^2)))</f>
        <v/>
      </c>
      <c r="P37" s="78" t="n"/>
      <c r="Q37" s="85">
        <f>IF(OR(C37="",G37=""),"",G37*C37^2)</f>
        <v/>
      </c>
      <c r="R37" s="81" t="n"/>
    </row>
    <row r="38">
      <c r="A38" s="138" t="n"/>
      <c r="B38" s="85" t="n"/>
      <c r="C38" s="86" t="n">
        <v>1.5</v>
      </c>
      <c r="D38" s="74" t="n"/>
      <c r="E38" s="74" t="n"/>
      <c r="F38" s="72" t="n"/>
      <c r="G38" s="74" t="n"/>
      <c r="H38" s="74" t="n"/>
      <c r="I38" s="74" t="n"/>
      <c r="J38" s="79" t="n"/>
      <c r="K38" s="79" t="n"/>
      <c r="L38" s="126" t="n"/>
      <c r="M38" s="83" t="n"/>
      <c r="N38" s="83" t="n"/>
      <c r="O38" s="84">
        <f>IF(OR(M38="",N38=""),"",SQRT(0.5*(M38^2+N38^2)))</f>
        <v/>
      </c>
      <c r="P38" s="78" t="n"/>
      <c r="Q38" s="85">
        <f>IF(OR(C38="",G38=""),"",G38*C38^2)</f>
        <v/>
      </c>
      <c r="R38" s="81" t="n"/>
    </row>
    <row r="39">
      <c r="A39" s="133" t="n"/>
      <c r="B39" s="85" t="n"/>
      <c r="C39" s="86" t="n">
        <v>2.5</v>
      </c>
      <c r="D39" s="74" t="n"/>
      <c r="E39" s="74" t="n"/>
      <c r="F39" s="72" t="n"/>
      <c r="G39" s="74" t="n"/>
      <c r="H39" s="74" t="n"/>
      <c r="I39" s="74" t="n"/>
      <c r="J39" s="79" t="n"/>
      <c r="K39" s="79" t="n"/>
      <c r="L39" s="126" t="n"/>
      <c r="M39" s="83" t="n"/>
      <c r="N39" s="83" t="n"/>
      <c r="O39" s="84">
        <f>IF(OR(M39="",N39=""),"",SQRT(0.5*(M39^2+N39^2)))</f>
        <v/>
      </c>
      <c r="P39" s="78" t="n"/>
      <c r="Q39" s="85">
        <f>IF(OR(C39="",G39=""),"",G39*C39^2)</f>
        <v/>
      </c>
      <c r="R39" s="81" t="n"/>
    </row>
    <row r="40">
      <c r="A40" s="133" t="n"/>
      <c r="B40" s="85" t="n"/>
      <c r="C40" s="86" t="n">
        <v>3.5</v>
      </c>
      <c r="D40" s="74" t="n"/>
      <c r="E40" s="74" t="n"/>
      <c r="F40" s="72" t="n"/>
      <c r="G40" s="74" t="n"/>
      <c r="H40" s="74" t="n"/>
      <c r="I40" s="74" t="n"/>
      <c r="J40" s="79" t="n"/>
      <c r="K40" s="79" t="n"/>
      <c r="L40" s="126" t="n"/>
      <c r="M40" s="83" t="n"/>
      <c r="N40" s="83" t="n"/>
      <c r="O40" s="84">
        <f>IF(OR(M40="",N40=""),"",SQRT(0.5*(M40^2+N40^2)))</f>
        <v/>
      </c>
      <c r="P40" s="78" t="n"/>
      <c r="Q40" s="85">
        <f>IF(OR(C40="",G40=""),"",G40*C40^2)</f>
        <v/>
      </c>
      <c r="R40" s="81" t="n"/>
    </row>
    <row r="41">
      <c r="A41" s="133" t="n"/>
      <c r="B41" s="85" t="n"/>
      <c r="C41" s="86" t="n">
        <v>4.5</v>
      </c>
      <c r="D41" s="74" t="n"/>
      <c r="E41" s="74" t="n"/>
      <c r="F41" s="72" t="n"/>
      <c r="G41" s="74" t="n"/>
      <c r="H41" s="74" t="n"/>
      <c r="I41" s="74" t="n"/>
      <c r="J41" s="79" t="n"/>
      <c r="K41" s="79" t="n"/>
      <c r="L41" s="126" t="n"/>
      <c r="M41" s="83" t="n"/>
      <c r="N41" s="83" t="n"/>
      <c r="O41" s="84">
        <f>IF(OR(M41="",N41=""),"",SQRT(0.5*(M41^2+N41^2)))</f>
        <v/>
      </c>
      <c r="P41" s="78" t="n"/>
      <c r="Q41" s="85">
        <f>IF(OR(C41="",G41=""),"",G41*C41^2)</f>
        <v/>
      </c>
      <c r="R41" s="81" t="n"/>
    </row>
    <row r="42">
      <c r="A42" s="133" t="n"/>
      <c r="B42" s="85" t="n"/>
      <c r="C42" s="86" t="n">
        <v>5.5</v>
      </c>
      <c r="D42" s="74" t="n"/>
      <c r="E42" s="74" t="n"/>
      <c r="F42" s="72" t="n"/>
      <c r="G42" s="74" t="n"/>
      <c r="H42" s="74" t="n"/>
      <c r="I42" s="74" t="n"/>
      <c r="J42" s="79" t="n"/>
      <c r="K42" s="79" t="n"/>
      <c r="L42" s="126" t="n"/>
      <c r="M42" s="83" t="n"/>
      <c r="N42" s="83" t="n"/>
      <c r="O42" s="84">
        <f>IF(OR(M42="",N42=""),"",SQRT(0.5*(M42^2+N42^2)))</f>
        <v/>
      </c>
      <c r="P42" s="78" t="n"/>
      <c r="Q42" s="85">
        <f>IF(OR(C42="",G42=""),"",G42*C42^2)</f>
        <v/>
      </c>
      <c r="R42" s="81" t="n"/>
    </row>
    <row r="43">
      <c r="A43" s="133" t="n"/>
      <c r="B43" s="85" t="n"/>
      <c r="C43" s="86" t="n">
        <v>6.5</v>
      </c>
      <c r="D43" s="74" t="n"/>
      <c r="E43" s="74" t="n"/>
      <c r="F43" s="72" t="n"/>
      <c r="G43" s="74" t="n"/>
      <c r="H43" s="74" t="n"/>
      <c r="I43" s="74" t="n"/>
      <c r="J43" s="79" t="n"/>
      <c r="K43" s="79" t="n"/>
      <c r="L43" s="126" t="n"/>
      <c r="M43" s="83" t="n"/>
      <c r="N43" s="83" t="n"/>
      <c r="O43" s="84">
        <f>IF(OR(M43="",N43=""),"",SQRT(0.5*(M43^2+N43^2)))</f>
        <v/>
      </c>
      <c r="P43" s="78" t="n"/>
      <c r="Q43" s="85">
        <f>IF(OR(C43="",G43=""),"",G43*C43^2)</f>
        <v/>
      </c>
      <c r="R43" s="81" t="n"/>
    </row>
    <row r="44">
      <c r="A44" s="133" t="n"/>
      <c r="B44" s="85" t="n"/>
      <c r="C44" s="86" t="n">
        <v>7.5</v>
      </c>
      <c r="D44" s="74" t="n"/>
      <c r="E44" s="74" t="n"/>
      <c r="F44" s="72" t="n"/>
      <c r="G44" s="74" t="n"/>
      <c r="H44" s="74" t="n"/>
      <c r="I44" s="74" t="n"/>
      <c r="J44" s="79" t="n"/>
      <c r="K44" s="79" t="n"/>
      <c r="L44" s="126" t="n"/>
      <c r="M44" s="83" t="n"/>
      <c r="N44" s="83" t="n"/>
      <c r="O44" s="84">
        <f>IF(OR(M44="",N44=""),"",SQRT(0.5*(M44^2+N44^2)))</f>
        <v/>
      </c>
      <c r="P44" s="78" t="n"/>
      <c r="Q44" s="85">
        <f>IF(OR(C44="",G44=""),"",G44*C44^2)</f>
        <v/>
      </c>
      <c r="R44" s="81" t="n"/>
    </row>
    <row r="45">
      <c r="A45" s="133" t="n"/>
      <c r="B45" s="85" t="n"/>
      <c r="C45" s="86" t="n">
        <v>8.5</v>
      </c>
      <c r="D45" s="74" t="n"/>
      <c r="E45" s="74" t="n"/>
      <c r="F45" s="72" t="n"/>
      <c r="G45" s="74" t="n"/>
      <c r="H45" s="74" t="n"/>
      <c r="I45" s="74" t="n"/>
      <c r="J45" s="79" t="n"/>
      <c r="K45" s="79" t="n"/>
      <c r="L45" s="126" t="n"/>
      <c r="M45" s="83" t="n"/>
      <c r="N45" s="83" t="n"/>
      <c r="O45" s="84">
        <f>IF(OR(M45="",N45=""),"",SQRT(0.5*(M45^2+N45^2)))</f>
        <v/>
      </c>
      <c r="P45" s="78" t="n"/>
      <c r="Q45" s="85">
        <f>IF(OR(C45="",G45=""),"",G45*C45^2)</f>
        <v/>
      </c>
      <c r="R45" s="81" t="n"/>
    </row>
    <row r="46">
      <c r="A46" s="133" t="n"/>
      <c r="B46" s="85" t="n"/>
      <c r="C46" s="86" t="n">
        <v>9.5</v>
      </c>
      <c r="D46" s="74" t="n"/>
      <c r="E46" s="74" t="n"/>
      <c r="F46" s="72" t="n"/>
      <c r="G46" s="74" t="n"/>
      <c r="H46" s="74" t="n"/>
      <c r="I46" s="74" t="n"/>
      <c r="J46" s="79" t="n"/>
      <c r="K46" s="79" t="n"/>
      <c r="L46" s="126" t="n"/>
      <c r="M46" s="83" t="n"/>
      <c r="N46" s="83" t="n"/>
      <c r="O46" s="84">
        <f>IF(OR(M46="",N46=""),"",SQRT(0.5*(M46^2+N46^2)))</f>
        <v/>
      </c>
      <c r="P46" s="78" t="n"/>
      <c r="Q46" s="85">
        <f>IF(OR(C46="",G46=""),"",G46*C46^2)</f>
        <v/>
      </c>
      <c r="R46" s="81" t="n"/>
    </row>
    <row r="47">
      <c r="A47" s="128" t="inlineStr">
        <is>
          <t>Vishay</t>
        </is>
      </c>
      <c r="B47" s="100" t="n">
        <v>90</v>
      </c>
      <c r="C47" s="101" t="n">
        <v>0.7</v>
      </c>
      <c r="D47" s="129" t="n"/>
      <c r="E47" s="129" t="n"/>
      <c r="F47" s="134" t="n"/>
      <c r="G47" s="129" t="n"/>
      <c r="H47" s="129" t="n"/>
      <c r="I47" s="129" t="n"/>
      <c r="J47" s="130" t="n"/>
      <c r="K47" s="130" t="n"/>
      <c r="L47" s="131" t="n"/>
      <c r="M47" s="132" t="n"/>
      <c r="N47" s="132" t="n"/>
      <c r="O47" s="107">
        <f>IF(OR(M47="",N47=""),"",SQRT(0.5*(M47^2+N47^2)))</f>
        <v/>
      </c>
      <c r="P47" s="135" t="n"/>
      <c r="Q47" s="100">
        <f>IF(OR(C47="",G47=""),"",G47*C47^2)</f>
        <v/>
      </c>
      <c r="R47" s="110" t="n"/>
    </row>
    <row r="48">
      <c r="A48" s="133" t="n"/>
      <c r="B48" s="85" t="n"/>
      <c r="C48" s="86" t="n">
        <v>1.5</v>
      </c>
      <c r="D48" s="74" t="n"/>
      <c r="E48" s="74" t="n"/>
      <c r="F48" s="72" t="n"/>
      <c r="G48" s="74" t="n"/>
      <c r="H48" s="74" t="n"/>
      <c r="I48" s="74" t="n"/>
      <c r="J48" s="79" t="n"/>
      <c r="K48" s="79" t="n"/>
      <c r="L48" s="126" t="n"/>
      <c r="M48" s="83" t="n"/>
      <c r="N48" s="83" t="n"/>
      <c r="O48" s="84">
        <f>IF(OR(M48="",N48=""),"",SQRT(0.5*(M48^2+N48^2)))</f>
        <v/>
      </c>
      <c r="P48" s="78" t="n"/>
      <c r="Q48" s="85">
        <f>IF(OR(C48="",G48=""),"",G48*C48^2)</f>
        <v/>
      </c>
      <c r="R48" s="81" t="n"/>
    </row>
    <row r="49">
      <c r="A49" s="133" t="n"/>
      <c r="B49" s="85" t="n"/>
      <c r="C49" s="86" t="n">
        <v>2.5</v>
      </c>
      <c r="D49" s="74" t="n"/>
      <c r="E49" s="74" t="n"/>
      <c r="F49" s="72" t="n"/>
      <c r="G49" s="74" t="n"/>
      <c r="H49" s="74" t="n"/>
      <c r="I49" s="74" t="n"/>
      <c r="J49" s="79" t="n"/>
      <c r="K49" s="79" t="n"/>
      <c r="L49" s="126" t="n"/>
      <c r="M49" s="83" t="n"/>
      <c r="N49" s="83" t="n"/>
      <c r="O49" s="84">
        <f>IF(OR(M49="",N49=""),"",SQRT(0.5*(M49^2+N49^2)))</f>
        <v/>
      </c>
      <c r="P49" s="78" t="n"/>
      <c r="Q49" s="85">
        <f>IF(OR(C49="",G49=""),"",G49*C49^2)</f>
        <v/>
      </c>
      <c r="R49" s="81" t="n"/>
    </row>
    <row r="50">
      <c r="A50" s="133" t="n"/>
      <c r="B50" s="85" t="n"/>
      <c r="C50" s="86" t="n">
        <v>3.5</v>
      </c>
      <c r="D50" s="74" t="n"/>
      <c r="E50" s="74" t="n"/>
      <c r="F50" s="72" t="n"/>
      <c r="G50" s="74" t="n"/>
      <c r="H50" s="74" t="n"/>
      <c r="I50" s="74" t="n"/>
      <c r="J50" s="79" t="n"/>
      <c r="K50" s="79" t="n"/>
      <c r="L50" s="126" t="n"/>
      <c r="M50" s="83" t="n"/>
      <c r="N50" s="83" t="n"/>
      <c r="O50" s="84">
        <f>IF(OR(M50="",N50=""),"",SQRT(0.5*(M50^2+N50^2)))</f>
        <v/>
      </c>
      <c r="P50" s="78" t="n"/>
      <c r="Q50" s="85">
        <f>IF(OR(C50="",G50=""),"",G50*C50^2)</f>
        <v/>
      </c>
      <c r="R50" s="81" t="n"/>
    </row>
    <row r="51">
      <c r="A51" s="133" t="n"/>
      <c r="B51" s="85" t="n"/>
      <c r="C51" s="86" t="n">
        <v>4.5</v>
      </c>
      <c r="D51" s="74" t="n"/>
      <c r="E51" s="74" t="n"/>
      <c r="F51" s="72" t="n"/>
      <c r="G51" s="74" t="n"/>
      <c r="H51" s="74" t="n"/>
      <c r="I51" s="74" t="n"/>
      <c r="J51" s="79" t="n"/>
      <c r="K51" s="79" t="n"/>
      <c r="L51" s="126" t="n"/>
      <c r="M51" s="83" t="n"/>
      <c r="N51" s="83" t="n"/>
      <c r="O51" s="84">
        <f>IF(OR(M51="",N51=""),"",SQRT(0.5*(M51^2+N51^2)))</f>
        <v/>
      </c>
      <c r="P51" s="78" t="n"/>
      <c r="Q51" s="85">
        <f>IF(OR(C51="",G51=""),"",G51*C51^2)</f>
        <v/>
      </c>
      <c r="R51" s="81" t="n"/>
    </row>
    <row r="52">
      <c r="A52" s="133" t="n"/>
      <c r="B52" s="85" t="n"/>
      <c r="C52" s="86" t="n">
        <v>5.5</v>
      </c>
      <c r="D52" s="74" t="n"/>
      <c r="E52" s="74" t="n"/>
      <c r="F52" s="72" t="n"/>
      <c r="G52" s="74" t="n"/>
      <c r="H52" s="74" t="n"/>
      <c r="I52" s="74" t="n"/>
      <c r="J52" s="79" t="n"/>
      <c r="K52" s="79" t="n"/>
      <c r="L52" s="126" t="n"/>
      <c r="M52" s="83" t="n"/>
      <c r="N52" s="83" t="n"/>
      <c r="O52" s="84">
        <f>IF(OR(M52="",N52=""),"",SQRT(0.5*(M52^2+N52^2)))</f>
        <v/>
      </c>
      <c r="P52" s="78" t="n"/>
      <c r="Q52" s="85">
        <f>IF(OR(C52="",G52=""),"",G52*C52^2)</f>
        <v/>
      </c>
      <c r="R52" s="81" t="n"/>
    </row>
    <row r="53">
      <c r="A53" s="133" t="n"/>
      <c r="B53" s="85" t="n"/>
      <c r="C53" s="86" t="n">
        <v>6.5</v>
      </c>
      <c r="D53" s="74" t="n"/>
      <c r="E53" s="74" t="n"/>
      <c r="F53" s="72" t="n"/>
      <c r="G53" s="74" t="n"/>
      <c r="H53" s="74" t="n"/>
      <c r="I53" s="74" t="n"/>
      <c r="J53" s="79" t="n"/>
      <c r="K53" s="79" t="n"/>
      <c r="L53" s="126" t="n"/>
      <c r="M53" s="83" t="n"/>
      <c r="N53" s="83" t="n"/>
      <c r="O53" s="84">
        <f>IF(OR(M53="",N53=""),"",SQRT(0.5*(M53^2+N53^2)))</f>
        <v/>
      </c>
      <c r="P53" s="78" t="n"/>
      <c r="Q53" s="85">
        <f>IF(OR(C53="",G53=""),"",G53*C53^2)</f>
        <v/>
      </c>
      <c r="R53" s="81" t="n"/>
    </row>
    <row r="54">
      <c r="A54" s="133" t="n"/>
      <c r="B54" s="85" t="n"/>
      <c r="C54" s="86" t="n">
        <v>7.5</v>
      </c>
      <c r="D54" s="74" t="n"/>
      <c r="E54" s="74" t="n"/>
      <c r="F54" s="72" t="n"/>
      <c r="G54" s="74" t="n"/>
      <c r="H54" s="74" t="n"/>
      <c r="I54" s="74" t="n"/>
      <c r="J54" s="79" t="n"/>
      <c r="K54" s="79" t="n"/>
      <c r="L54" s="126" t="n"/>
      <c r="M54" s="83" t="n"/>
      <c r="N54" s="83" t="n"/>
      <c r="O54" s="84">
        <f>IF(OR(M54="",N54=""),"",SQRT(0.5*(M54^2+N54^2)))</f>
        <v/>
      </c>
      <c r="P54" s="78" t="n"/>
      <c r="Q54" s="85">
        <f>IF(OR(C54="",G54=""),"",G54*C54^2)</f>
        <v/>
      </c>
      <c r="R54" s="81" t="n"/>
    </row>
    <row r="55">
      <c r="A55" s="133" t="n"/>
      <c r="B55" s="85" t="n"/>
      <c r="C55" s="86" t="n">
        <v>8.5</v>
      </c>
      <c r="D55" s="74" t="n"/>
      <c r="E55" s="74" t="n"/>
      <c r="F55" s="72" t="n"/>
      <c r="G55" s="74" t="n"/>
      <c r="H55" s="74" t="n"/>
      <c r="I55" s="74" t="n"/>
      <c r="J55" s="79" t="n"/>
      <c r="K55" s="79" t="n"/>
      <c r="L55" s="126" t="n"/>
      <c r="M55" s="83" t="n"/>
      <c r="N55" s="83" t="n"/>
      <c r="O55" s="84">
        <f>IF(OR(M55="",N55=""),"",SQRT(0.5*(M55^2+N55^2)))</f>
        <v/>
      </c>
      <c r="P55" s="78" t="n"/>
      <c r="Q55" s="85">
        <f>IF(OR(C55="",G55=""),"",G55*C55^2)</f>
        <v/>
      </c>
      <c r="R55" s="81" t="n"/>
    </row>
    <row r="56">
      <c r="A56" s="133" t="n"/>
      <c r="B56" s="85" t="n"/>
      <c r="C56" s="86" t="n">
        <v>9.5</v>
      </c>
      <c r="D56" s="74" t="n"/>
      <c r="E56" s="74" t="n"/>
      <c r="F56" s="72" t="n"/>
      <c r="G56" s="74" t="n"/>
      <c r="H56" s="74" t="n"/>
      <c r="I56" s="74" t="n"/>
      <c r="J56" s="79" t="n"/>
      <c r="K56" s="79" t="n"/>
      <c r="L56" s="126" t="n"/>
      <c r="M56" s="83" t="n"/>
      <c r="N56" s="83" t="n"/>
      <c r="O56" s="84">
        <f>IF(OR(M56="",N56=""),"",SQRT(0.5*(M56^2+N56^2)))</f>
        <v/>
      </c>
      <c r="P56" s="78" t="n"/>
      <c r="Q56" s="85">
        <f>IF(OR(C56="",G56=""),"",G56*C56^2)</f>
        <v/>
      </c>
      <c r="R56" s="81" t="n"/>
    </row>
    <row r="57">
      <c r="A57" s="133" t="inlineStr">
        <is>
          <t>Vishay</t>
        </is>
      </c>
      <c r="B57" s="85" t="n">
        <v>0</v>
      </c>
      <c r="C57" s="86" t="n">
        <v>0.7</v>
      </c>
      <c r="D57" s="74" t="n">
        <v>21</v>
      </c>
      <c r="E57" s="74" t="n">
        <v>145</v>
      </c>
      <c r="F57" s="72" t="n">
        <v>0</v>
      </c>
      <c r="G57" s="74" t="n"/>
      <c r="H57" s="74" t="n"/>
      <c r="I57" s="74" t="n"/>
      <c r="J57" s="79" t="n"/>
      <c r="K57" s="79" t="n"/>
      <c r="L57" s="126" t="n"/>
      <c r="M57" s="83" t="n"/>
      <c r="N57" s="83" t="n"/>
      <c r="O57" s="84">
        <f>IF(OR(M57="",N57=""),"",SQRT(0.5*(M57^2+N57^2)))</f>
        <v/>
      </c>
      <c r="P57" s="78" t="inlineStr">
        <is>
          <t>Y</t>
        </is>
      </c>
      <c r="Q57" s="85">
        <f>IF(OR(C57="",G57=""),"",G57*C57^2)</f>
        <v/>
      </c>
      <c r="R57" s="139" t="inlineStr">
        <is>
          <t>TOO BRIGHT - no in-band exposure at 0.7 m. 21 us gives peak 145 unsaturated; the next grid step (42 us) is fully clipped, 545 sat px. Detected but not characterisable here. Shape metrics withheld - the saturated attempt read 33 blobs / wh 23.2 / sigma 1.22, which is banding.</t>
        </is>
      </c>
    </row>
    <row r="58">
      <c r="A58" s="133" t="n"/>
      <c r="B58" s="85" t="n"/>
      <c r="C58" s="86" t="n">
        <v>1.5</v>
      </c>
      <c r="D58" s="74" t="n"/>
      <c r="E58" s="74" t="n"/>
      <c r="F58" s="72" t="n"/>
      <c r="G58" s="74" t="n"/>
      <c r="H58" s="74" t="n"/>
      <c r="I58" s="74" t="n"/>
      <c r="J58" s="79" t="n"/>
      <c r="K58" s="79" t="n"/>
      <c r="L58" s="126" t="n"/>
      <c r="M58" s="83" t="n"/>
      <c r="N58" s="83" t="n"/>
      <c r="O58" s="84">
        <f>IF(OR(M58="",N58=""),"",SQRT(0.5*(M58^2+N58^2)))</f>
        <v/>
      </c>
      <c r="P58" s="78" t="inlineStr">
        <is>
          <t>Y</t>
        </is>
      </c>
      <c r="Q58" s="85">
        <f>IF(OR(C58="",G58=""),"",G58*C58^2)</f>
        <v/>
      </c>
      <c r="R58" s="139" t="inlineStr">
        <is>
          <t>TOO BRIGHT - 17 us leaves the blob below THRESH_LO, 35 us is fully clipped (290 sat px). The grid straddles at the short end and the response is non-linear there. Detected, not characterisable. Vishay near limit is ~2 m at 0 deg.</t>
        </is>
      </c>
    </row>
    <row r="59">
      <c r="A59" s="133" t="n"/>
      <c r="B59" s="85" t="n"/>
      <c r="C59" s="86" t="n">
        <v>2.5</v>
      </c>
      <c r="D59" s="74" t="n">
        <v>251</v>
      </c>
      <c r="E59" s="74" t="n">
        <v>208.1</v>
      </c>
      <c r="F59" s="72" t="n">
        <v>0</v>
      </c>
      <c r="G59" s="74" t="n">
        <v>825</v>
      </c>
      <c r="H59" s="74" t="n">
        <v>947</v>
      </c>
      <c r="I59" s="74" t="n">
        <v>1</v>
      </c>
      <c r="J59" s="79" t="n">
        <v>0.97</v>
      </c>
      <c r="K59" s="79" t="n">
        <v>0.8100000000000001</v>
      </c>
      <c r="L59" s="126" t="n">
        <v>0.07099999999999999</v>
      </c>
      <c r="M59" s="83" t="n">
        <v>0.0487</v>
      </c>
      <c r="N59" s="83" t="n">
        <v>0.08210000000000001</v>
      </c>
      <c r="O59" s="84">
        <f>IF(OR(M59="",N59=""),"",SQRT(0.5*(M59^2+N59^2)))</f>
        <v/>
      </c>
      <c r="P59" s="78" t="inlineStr">
        <is>
          <t>Y</t>
        </is>
      </c>
      <c r="Q59" s="85">
        <f>IF(OR(C59="",G59=""),"",G59*C59^2)</f>
        <v/>
      </c>
      <c r="R59" s="139" t="inlineStr">
        <is>
          <t>VOID - BATTERY DYING. sigma 0.2018 then 0.0675 (3x this marker at 4 m) and a transient blob split. The battery failed completely at the next distance. With only ~2.6 V of headroom above 4x Vf, current is hypersensitive to supply sag, so a fading battery fluctuates the brightness and wanders the centroid. RE-MEASURE with a fresh cell.</t>
        </is>
      </c>
    </row>
    <row r="60">
      <c r="A60" s="133" t="n"/>
      <c r="B60" s="85" t="n"/>
      <c r="C60" s="86" t="n">
        <v>3.5</v>
      </c>
      <c r="D60" s="74" t="n"/>
      <c r="E60" s="74" t="n"/>
      <c r="F60" s="72" t="n"/>
      <c r="G60" s="74" t="n"/>
      <c r="H60" s="74" t="n"/>
      <c r="I60" s="74" t="n"/>
      <c r="J60" s="79" t="n"/>
      <c r="K60" s="79" t="n"/>
      <c r="L60" s="126" t="n"/>
      <c r="M60" s="83" t="n"/>
      <c r="N60" s="83" t="n"/>
      <c r="O60" s="84">
        <f>IF(OR(M60="",N60=""),"",SQRT(0.5*(M60^2+N60^2)))</f>
        <v/>
      </c>
      <c r="P60" s="78" t="inlineStr"/>
      <c r="Q60" s="85">
        <f>IF(OR(C60="",G60=""),"",G60*C60^2)</f>
        <v/>
      </c>
      <c r="R60" s="139" t="inlineStr">
        <is>
          <t>Battery flat - no marker in frame at any exposure to 30 ms. Not a range limit.</t>
        </is>
      </c>
    </row>
    <row r="61">
      <c r="A61" s="133" t="n"/>
      <c r="B61" s="85" t="n"/>
      <c r="C61" s="86" t="n">
        <v>4.5</v>
      </c>
      <c r="D61" s="74" t="n"/>
      <c r="E61" s="74" t="n"/>
      <c r="F61" s="72" t="n"/>
      <c r="G61" s="74" t="n"/>
      <c r="H61" s="74" t="n"/>
      <c r="I61" s="74" t="n"/>
      <c r="J61" s="79" t="n"/>
      <c r="K61" s="79" t="n"/>
      <c r="L61" s="126" t="n"/>
      <c r="M61" s="83" t="n"/>
      <c r="N61" s="83" t="n"/>
      <c r="O61" s="84">
        <f>IF(OR(M61="",N61=""),"",SQRT(0.5*(M61^2+N61^2)))</f>
        <v/>
      </c>
      <c r="P61" s="78" t="n"/>
      <c r="Q61" s="85">
        <f>IF(OR(C61="",G61=""),"",G61*C61^2)</f>
        <v/>
      </c>
      <c r="R61" s="81" t="n"/>
    </row>
    <row r="62">
      <c r="A62" s="133" t="n"/>
      <c r="B62" s="85" t="n"/>
      <c r="C62" s="86" t="n">
        <v>5.5</v>
      </c>
      <c r="D62" s="74" t="n"/>
      <c r="E62" s="74" t="n"/>
      <c r="F62" s="72" t="n"/>
      <c r="G62" s="74" t="n"/>
      <c r="H62" s="74" t="n"/>
      <c r="I62" s="74" t="n"/>
      <c r="J62" s="79" t="n"/>
      <c r="K62" s="79" t="n"/>
      <c r="L62" s="126" t="n"/>
      <c r="M62" s="83" t="n"/>
      <c r="N62" s="83" t="n"/>
      <c r="O62" s="84">
        <f>IF(OR(M62="",N62=""),"",SQRT(0.5*(M62^2+N62^2)))</f>
        <v/>
      </c>
      <c r="P62" s="78" t="n"/>
      <c r="Q62" s="85">
        <f>IF(OR(C62="",G62=""),"",G62*C62^2)</f>
        <v/>
      </c>
      <c r="R62" s="81" t="n"/>
    </row>
    <row r="63">
      <c r="A63" s="133" t="n"/>
      <c r="B63" s="85" t="n"/>
      <c r="C63" s="86" t="n">
        <v>6.5</v>
      </c>
      <c r="D63" s="74" t="n"/>
      <c r="E63" s="74" t="n"/>
      <c r="F63" s="72" t="n"/>
      <c r="G63" s="74" t="n"/>
      <c r="H63" s="74" t="n"/>
      <c r="I63" s="74" t="n"/>
      <c r="J63" s="79" t="n"/>
      <c r="K63" s="79" t="n"/>
      <c r="L63" s="126" t="n"/>
      <c r="M63" s="83" t="n"/>
      <c r="N63" s="83" t="n"/>
      <c r="O63" s="84">
        <f>IF(OR(M63="",N63=""),"",SQRT(0.5*(M63^2+N63^2)))</f>
        <v/>
      </c>
      <c r="P63" s="78" t="n"/>
      <c r="Q63" s="85">
        <f>IF(OR(C63="",G63=""),"",G63*C63^2)</f>
        <v/>
      </c>
      <c r="R63" s="81" t="n"/>
    </row>
    <row r="64">
      <c r="A64" s="133" t="n"/>
      <c r="B64" s="85" t="n"/>
      <c r="C64" s="86" t="n">
        <v>7.5</v>
      </c>
      <c r="D64" s="74" t="n"/>
      <c r="E64" s="74" t="n"/>
      <c r="F64" s="72" t="n"/>
      <c r="G64" s="74" t="n"/>
      <c r="H64" s="74" t="n"/>
      <c r="I64" s="74" t="n"/>
      <c r="J64" s="79" t="n"/>
      <c r="K64" s="79" t="n"/>
      <c r="L64" s="126" t="n"/>
      <c r="M64" s="83" t="n"/>
      <c r="N64" s="83" t="n"/>
      <c r="O64" s="84">
        <f>IF(OR(M64="",N64=""),"",SQRT(0.5*(M64^2+N64^2)))</f>
        <v/>
      </c>
      <c r="P64" s="78" t="n"/>
      <c r="Q64" s="85">
        <f>IF(OR(C64="",G64=""),"",G64*C64^2)</f>
        <v/>
      </c>
      <c r="R64" s="81" t="n"/>
    </row>
    <row r="65">
      <c r="A65" s="133" t="n"/>
      <c r="B65" s="85" t="n"/>
      <c r="C65" s="86" t="n">
        <v>8.5</v>
      </c>
      <c r="D65" s="74" t="n"/>
      <c r="E65" s="74" t="n"/>
      <c r="F65" s="72" t="n"/>
      <c r="G65" s="74" t="n"/>
      <c r="H65" s="74" t="n"/>
      <c r="I65" s="74" t="n"/>
      <c r="J65" s="79" t="n"/>
      <c r="K65" s="79" t="n"/>
      <c r="L65" s="126" t="n"/>
      <c r="M65" s="83" t="n"/>
      <c r="N65" s="83" t="n"/>
      <c r="O65" s="84">
        <f>IF(OR(M65="",N65=""),"",SQRT(0.5*(M65^2+N65^2)))</f>
        <v/>
      </c>
      <c r="P65" s="78" t="n"/>
      <c r="Q65" s="85">
        <f>IF(OR(C65="",G65=""),"",G65*C65^2)</f>
        <v/>
      </c>
      <c r="R65" s="81" t="n"/>
    </row>
    <row r="66">
      <c r="A66" s="133" t="n"/>
      <c r="B66" s="85" t="n"/>
      <c r="C66" s="86" t="n">
        <v>9.5</v>
      </c>
      <c r="D66" s="74" t="n"/>
      <c r="E66" s="74" t="n"/>
      <c r="F66" s="72" t="n"/>
      <c r="G66" s="74" t="n"/>
      <c r="H66" s="74" t="n"/>
      <c r="I66" s="74" t="n"/>
      <c r="J66" s="79" t="n"/>
      <c r="K66" s="79" t="n"/>
      <c r="L66" s="126" t="n"/>
      <c r="M66" s="83" t="n"/>
      <c r="N66" s="83" t="n"/>
      <c r="O66" s="84">
        <f>IF(OR(M66="",N66=""),"",SQRT(0.5*(M66^2+N66^2)))</f>
        <v/>
      </c>
      <c r="P66" s="78" t="n"/>
      <c r="Q66" s="85">
        <f>IF(OR(C66="",G66=""),"",G66*C66^2)</f>
        <v/>
      </c>
      <c r="R66" s="81" t="n"/>
    </row>
  </sheetData>
  <pageMargins left="0.75" right="0.75" top="1" bottom="1" header="0.5" footer="0.5"/>
</worksheet>
</file>

<file path=xl/worksheets/sheet8.xml><?xml version="1.0" encoding="utf-8"?>
<worksheet xmlns="http://schemas.openxmlformats.org/spreadsheetml/2006/main">
  <sheetPr>
    <tabColor rgb="FF1F3864"/>
    <outlinePr summaryBelow="1" summaryRight="1"/>
    <pageSetUpPr/>
  </sheetPr>
  <dimension ref="A1:Q53"/>
  <sheetViews>
    <sheetView showGridLines="0" workbookViewId="0">
      <pane ySplit="9" topLeftCell="A10" activePane="bottomLeft" state="frozen"/>
      <selection pane="bottomLeft" activeCell="A1" sqref="A1"/>
    </sheetView>
  </sheetViews>
  <sheetFormatPr baseColWidth="8" defaultRowHeight="15"/>
  <cols>
    <col width="15" customWidth="1" min="1" max="1"/>
    <col width="13" customWidth="1" min="2" max="2"/>
    <col width="12" customWidth="1" min="3" max="3"/>
    <col width="10" customWidth="1" min="4" max="4"/>
    <col width="10" customWidth="1" min="5" max="5"/>
    <col width="10" customWidth="1" min="6" max="6"/>
    <col width="11" customWidth="1" min="7" max="7"/>
    <col width="12" customWidth="1" min="8" max="8"/>
    <col width="10" customWidth="1" min="9" max="9"/>
    <col width="10" customWidth="1" min="10" max="10"/>
    <col width="11" customWidth="1" min="11" max="11"/>
    <col width="12" customWidth="1" min="12" max="12"/>
    <col width="12" customWidth="1" min="13" max="13"/>
    <col width="12" customWidth="1" min="14" max="14"/>
    <col width="13" customWidth="1" min="15" max="15"/>
    <col width="12" customWidth="1" min="16" max="16"/>
    <col width="34" customWidth="1" min="17" max="17"/>
  </cols>
  <sheetData>
    <row r="1" ht="18" customHeight="1">
      <c r="A1" s="65" t="inlineStr">
        <is>
          <t>TEST E - Pulsed / strobed drive</t>
        </is>
      </c>
    </row>
    <row r="2">
      <c r="A2" s="66" t="inlineStr">
        <is>
          <t>Blue on yellow = fill in.  Black = calculated.  Everything on A_Bench was measured DC; this is the operating condition the strobed PCB will actually run in. Rolling shutter: each row starts integrating 21.3 us after the one above it, so a pulse shorter than the sweep across the marker lights only PART of it and drags the centroid.</t>
        </is>
      </c>
    </row>
    <row r="3">
      <c r="A3" s="71" t="inlineStr">
        <is>
          <t>Row time (us)</t>
        </is>
      </c>
      <c r="B3" s="72" t="n">
        <v>21.3</v>
      </c>
      <c r="C3" s="73" t="inlineStr">
        <is>
          <t>one sensor row. Measured: exposure quantises to this</t>
        </is>
      </c>
    </row>
    <row r="4">
      <c r="A4" s="71" t="inlineStr">
        <is>
          <t>Marker row span</t>
        </is>
      </c>
      <c r="B4" s="74" t="n">
        <v>30</v>
      </c>
      <c r="C4" s="73" t="inlineStr">
        <is>
          <t>marker height in sensor rows at the working distance</t>
        </is>
      </c>
    </row>
    <row r="5">
      <c r="A5" s="71" t="inlineStr">
        <is>
          <t>Min pulse (ms)</t>
        </is>
      </c>
      <c r="B5" s="75">
        <f>IF(OR(B3="",B4="",B6=""),"",(B4*B3+B6)/1000)</f>
        <v/>
      </c>
      <c r="C5" s="73">
        <f> (row span x row time + exposure). Below this the marker is only partly lit</f>
        <v/>
      </c>
    </row>
    <row r="6">
      <c r="A6" s="71" t="inlineStr">
        <is>
          <t>Exposure (us)</t>
        </is>
      </c>
      <c r="B6" s="74" t="n"/>
      <c r="C6" s="66" t="inlineStr">
        <is>
          <t>the exposure Test A landed for this build</t>
        </is>
      </c>
    </row>
    <row r="8">
      <c r="A8" s="76" t="inlineStr">
        <is>
          <t>E1 - PULSE WIDTH SWEEP   (one build, fixed duty and exposure. Where does the banding start?)</t>
        </is>
      </c>
    </row>
    <row r="9" ht="32" customHeight="1">
      <c r="A9" s="77" t="inlineStr">
        <is>
          <t>LED Type</t>
        </is>
      </c>
      <c r="B9" s="77" t="inlineStr">
        <is>
          <t>Build</t>
        </is>
      </c>
      <c r="C9" s="77" t="inlineStr">
        <is>
          <t>Pulse width
(ms)</t>
        </is>
      </c>
      <c r="D9" s="77" t="inlineStr">
        <is>
          <t>Period
(ms)</t>
        </is>
      </c>
      <c r="E9" s="77" t="inlineStr">
        <is>
          <t>Duty
(%)</t>
        </is>
      </c>
      <c r="F9" s="77" t="inlineStr">
        <is>
          <t>Peak I
(mA)</t>
        </is>
      </c>
      <c r="G9" s="77" t="inlineStr">
        <is>
          <t>Exposure
(us)</t>
        </is>
      </c>
      <c r="H9" s="77" t="inlineStr">
        <is>
          <t>Peak
(0-255)</t>
        </is>
      </c>
      <c r="I9" s="77" t="inlineStr">
        <is>
          <t>Sensor area
(px)</t>
        </is>
      </c>
      <c r="J9" s="77" t="inlineStr">
        <is>
          <t>blobs</t>
        </is>
      </c>
      <c r="K9" s="77" t="inlineStr">
        <is>
          <t>w/h</t>
        </is>
      </c>
      <c r="L9" s="77" t="inlineStr">
        <is>
          <t>Fill
(centre/rim)</t>
        </is>
      </c>
      <c r="M9" s="77" t="inlineStr">
        <is>
          <t>Banded?
(Y/N)</t>
        </is>
      </c>
      <c r="N9" s="77" t="inlineStr">
        <is>
          <t>Centroid shift
vs DC (px)</t>
        </is>
      </c>
      <c r="O9" s="77" t="inlineStr">
        <is>
          <t>Uniform?</t>
        </is>
      </c>
      <c r="P9" s="77" t="inlineStr">
        <is>
          <t>Notes</t>
        </is>
      </c>
    </row>
    <row r="10">
      <c r="A10" s="78" t="n"/>
      <c r="B10" s="78" t="n"/>
      <c r="C10" s="75" t="n">
        <v>0.25</v>
      </c>
      <c r="D10" s="74" t="n"/>
      <c r="E10" s="74" t="n"/>
      <c r="F10" s="74" t="n"/>
      <c r="G10" s="74" t="n"/>
      <c r="H10" s="74" t="n"/>
      <c r="I10" s="74" t="n"/>
      <c r="J10" s="74" t="n"/>
      <c r="K10" s="79" t="n"/>
      <c r="L10" s="79" t="n"/>
      <c r="M10" s="79" t="n"/>
      <c r="N10" s="79" t="n"/>
      <c r="O10" s="80">
        <f>IF(OR(M10="",L10=""),"",IF(AND(UPPER(M10)="N",L10&gt;=0.85),"pass","FAIL"))</f>
        <v/>
      </c>
      <c r="P10" s="81" t="n"/>
    </row>
    <row r="11">
      <c r="A11" s="78" t="n"/>
      <c r="B11" s="78" t="n"/>
      <c r="C11" s="75" t="n">
        <v>0.5</v>
      </c>
      <c r="D11" s="74" t="n"/>
      <c r="E11" s="74" t="n"/>
      <c r="F11" s="74" t="n"/>
      <c r="G11" s="74" t="n"/>
      <c r="H11" s="74" t="n"/>
      <c r="I11" s="74" t="n"/>
      <c r="J11" s="74" t="n"/>
      <c r="K11" s="79" t="n"/>
      <c r="L11" s="79" t="n"/>
      <c r="M11" s="79" t="n"/>
      <c r="N11" s="79" t="n"/>
      <c r="O11" s="80">
        <f>IF(OR(M11="",L11=""),"",IF(AND(UPPER(M11)="N",L11&gt;=0.85),"pass","FAIL"))</f>
        <v/>
      </c>
      <c r="P11" s="81" t="n"/>
    </row>
    <row r="12">
      <c r="A12" s="78" t="n"/>
      <c r="B12" s="78" t="n"/>
      <c r="C12" s="75" t="n">
        <v>1</v>
      </c>
      <c r="D12" s="74" t="n"/>
      <c r="E12" s="74" t="n"/>
      <c r="F12" s="74" t="n"/>
      <c r="G12" s="74" t="n"/>
      <c r="H12" s="74" t="n"/>
      <c r="I12" s="74" t="n"/>
      <c r="J12" s="74" t="n"/>
      <c r="K12" s="79" t="n"/>
      <c r="L12" s="79" t="n"/>
      <c r="M12" s="79" t="n"/>
      <c r="N12" s="79" t="n"/>
      <c r="O12" s="80">
        <f>IF(OR(M12="",L12=""),"",IF(AND(UPPER(M12)="N",L12&gt;=0.85),"pass","FAIL"))</f>
        <v/>
      </c>
      <c r="P12" s="81" t="n"/>
    </row>
    <row r="13">
      <c r="A13" s="78" t="n"/>
      <c r="B13" s="78" t="n"/>
      <c r="C13" s="75" t="n">
        <v>2</v>
      </c>
      <c r="D13" s="74" t="n"/>
      <c r="E13" s="74" t="n"/>
      <c r="F13" s="74" t="n"/>
      <c r="G13" s="74" t="n"/>
      <c r="H13" s="74" t="n"/>
      <c r="I13" s="74" t="n"/>
      <c r="J13" s="74" t="n"/>
      <c r="K13" s="79" t="n"/>
      <c r="L13" s="79" t="n"/>
      <c r="M13" s="79" t="n"/>
      <c r="N13" s="79" t="n"/>
      <c r="O13" s="80">
        <f>IF(OR(M13="",L13=""),"",IF(AND(UPPER(M13)="N",L13&gt;=0.85),"pass","FAIL"))</f>
        <v/>
      </c>
      <c r="P13" s="81" t="n"/>
    </row>
    <row r="14">
      <c r="A14" s="78" t="n"/>
      <c r="B14" s="78" t="n"/>
      <c r="C14" s="75" t="n">
        <v>4</v>
      </c>
      <c r="D14" s="74" t="n"/>
      <c r="E14" s="74" t="n"/>
      <c r="F14" s="74" t="n"/>
      <c r="G14" s="74" t="n"/>
      <c r="H14" s="74" t="n"/>
      <c r="I14" s="74" t="n"/>
      <c r="J14" s="74" t="n"/>
      <c r="K14" s="79" t="n"/>
      <c r="L14" s="79" t="n"/>
      <c r="M14" s="79" t="n"/>
      <c r="N14" s="79" t="n"/>
      <c r="O14" s="80">
        <f>IF(OR(M14="",L14=""),"",IF(AND(UPPER(M14)="N",L14&gt;=0.85),"pass","FAIL"))</f>
        <v/>
      </c>
      <c r="P14" s="81" t="n"/>
    </row>
    <row r="15">
      <c r="A15" s="78" t="n"/>
      <c r="B15" s="78" t="n"/>
      <c r="C15" s="75" t="n">
        <v>8</v>
      </c>
      <c r="D15" s="74" t="n"/>
      <c r="E15" s="74" t="n"/>
      <c r="F15" s="74" t="n"/>
      <c r="G15" s="74" t="n"/>
      <c r="H15" s="74" t="n"/>
      <c r="I15" s="74" t="n"/>
      <c r="J15" s="74" t="n"/>
      <c r="K15" s="79" t="n"/>
      <c r="L15" s="79" t="n"/>
      <c r="M15" s="79" t="n"/>
      <c r="N15" s="79" t="n"/>
      <c r="O15" s="80">
        <f>IF(OR(M15="",L15=""),"",IF(AND(UPPER(M15)="N",L15&gt;=0.85),"pass","FAIL"))</f>
        <v/>
      </c>
      <c r="P15" s="81" t="n"/>
    </row>
    <row r="16">
      <c r="A16" s="78" t="n"/>
      <c r="B16" s="78" t="n"/>
      <c r="C16" s="75" t="n">
        <v>16</v>
      </c>
      <c r="D16" s="74" t="n"/>
      <c r="E16" s="74" t="n"/>
      <c r="F16" s="74" t="n"/>
      <c r="G16" s="74" t="n"/>
      <c r="H16" s="74" t="n"/>
      <c r="I16" s="74" t="n"/>
      <c r="J16" s="74" t="n"/>
      <c r="K16" s="79" t="n"/>
      <c r="L16" s="79" t="n"/>
      <c r="M16" s="79" t="n"/>
      <c r="N16" s="79" t="n"/>
      <c r="O16" s="80">
        <f>IF(OR(M16="",L16=""),"",IF(AND(UPPER(M16)="N",L16&gt;=0.85),"pass","FAIL"))</f>
        <v/>
      </c>
      <c r="P16" s="81" t="n"/>
    </row>
    <row r="18">
      <c r="A18" s="76" t="inlineStr">
        <is>
          <t>E2 - OPERATING POINT vs DC   (does pulsing change sigma, fill or the centroid?)</t>
        </is>
      </c>
    </row>
    <row r="19" ht="32" customHeight="1">
      <c r="A19" s="77" t="inlineStr">
        <is>
          <t>LED Type</t>
        </is>
      </c>
      <c r="B19" s="77" t="inlineStr">
        <is>
          <t>Build</t>
        </is>
      </c>
      <c r="C19" s="77" t="inlineStr">
        <is>
          <t>Peak I
(mA)</t>
        </is>
      </c>
      <c r="D19" s="77" t="inlineStr">
        <is>
          <t>Duty
(%)</t>
        </is>
      </c>
      <c r="E19" s="77" t="inlineStr">
        <is>
          <t>Pulse
(ms)</t>
        </is>
      </c>
      <c r="F19" s="77" t="inlineStr">
        <is>
          <t>Exposure
(us)</t>
        </is>
      </c>
      <c r="G19" s="77" t="inlineStr">
        <is>
          <t>Peak
(0-255)</t>
        </is>
      </c>
      <c r="H19" s="77" t="inlineStr">
        <is>
          <t>Sensor area
(px)</t>
        </is>
      </c>
      <c r="I19" s="77" t="inlineStr">
        <is>
          <t>blobs</t>
        </is>
      </c>
      <c r="J19" s="77" t="inlineStr">
        <is>
          <t>w/h</t>
        </is>
      </c>
      <c r="K19" s="77" t="inlineStr">
        <is>
          <t>Fill</t>
        </is>
      </c>
      <c r="L19" s="77" t="inlineStr">
        <is>
          <t>sigma_u
(px)</t>
        </is>
      </c>
      <c r="M19" s="77" t="inlineStr">
        <is>
          <t>sigma_v
(px)</t>
        </is>
      </c>
      <c r="N19" s="77" t="inlineStr">
        <is>
          <t>sigma_RMS
(px)</t>
        </is>
      </c>
      <c r="O19" s="77" t="inlineStr">
        <is>
          <t>DC sigma_RMS</t>
        </is>
      </c>
      <c r="P19" s="77" t="inlineStr">
        <is>
          <t>Pulsed / DC</t>
        </is>
      </c>
      <c r="Q19" s="77" t="inlineStr">
        <is>
          <t>Notes</t>
        </is>
      </c>
    </row>
    <row r="20">
      <c r="A20" s="133" t="inlineStr">
        <is>
          <t>Kingbright</t>
        </is>
      </c>
      <c r="B20" s="80" t="inlineStr">
        <is>
          <t>25 mm</t>
        </is>
      </c>
      <c r="C20" s="74" t="n"/>
      <c r="D20" s="79" t="n"/>
      <c r="E20" s="79" t="n"/>
      <c r="F20" s="74" t="n"/>
      <c r="G20" s="74" t="n"/>
      <c r="H20" s="74" t="n"/>
      <c r="I20" s="74" t="n"/>
      <c r="J20" s="79" t="n"/>
      <c r="K20" s="79" t="n"/>
      <c r="L20" s="83" t="n"/>
      <c r="M20" s="83" t="n"/>
      <c r="N20" s="84">
        <f>IF(OR(L20="",M20=""),"",SQRT(0.5*(L20^2+M20^2)))</f>
        <v/>
      </c>
      <c r="O20" s="84">
        <f>IFERROR(A_Bench!R16,"")</f>
        <v/>
      </c>
      <c r="P20" s="75">
        <f>IF(OR(N20="",O20="",O20=0),"",N20/O20)</f>
        <v/>
      </c>
      <c r="Q20" s="81" t="n"/>
    </row>
    <row r="21">
      <c r="A21" s="133" t="inlineStr">
        <is>
          <t>Vishay</t>
        </is>
      </c>
      <c r="B21" s="80" t="inlineStr">
        <is>
          <t>25 mm</t>
        </is>
      </c>
      <c r="C21" s="74" t="n"/>
      <c r="D21" s="79" t="n"/>
      <c r="E21" s="79" t="n"/>
      <c r="F21" s="74" t="n"/>
      <c r="G21" s="74" t="n"/>
      <c r="H21" s="74" t="n"/>
      <c r="I21" s="74" t="n"/>
      <c r="J21" s="79" t="n"/>
      <c r="K21" s="79" t="n"/>
      <c r="L21" s="83" t="n"/>
      <c r="M21" s="83" t="n"/>
      <c r="N21" s="84">
        <f>IF(OR(L21="",M21=""),"",SQRT(0.5*(L21^2+M21^2)))</f>
        <v/>
      </c>
      <c r="O21" s="84">
        <f>IFERROR(A_Bench!R13,"")</f>
        <v/>
      </c>
      <c r="P21" s="75">
        <f>IF(OR(N21="",O21="",O21=0),"",N21/O21)</f>
        <v/>
      </c>
      <c r="Q21" s="81" t="n"/>
    </row>
    <row r="22">
      <c r="A22" s="133" t="inlineStr">
        <is>
          <t>Kingbright</t>
        </is>
      </c>
      <c r="B22" s="80" t="inlineStr">
        <is>
          <t>20 mm</t>
        </is>
      </c>
      <c r="C22" s="74" t="n"/>
      <c r="D22" s="79" t="n"/>
      <c r="E22" s="79" t="n"/>
      <c r="F22" s="74" t="n"/>
      <c r="G22" s="74" t="n"/>
      <c r="H22" s="74" t="n"/>
      <c r="I22" s="74" t="n"/>
      <c r="J22" s="79" t="n"/>
      <c r="K22" s="79" t="n"/>
      <c r="L22" s="83" t="n"/>
      <c r="M22" s="83" t="n"/>
      <c r="N22" s="84">
        <f>IF(OR(L22="",M22=""),"",SQRT(0.5*(L22^2+M22^2)))</f>
        <v/>
      </c>
      <c r="O22" s="84">
        <f>IFERROR(A_Bench!R12,"")</f>
        <v/>
      </c>
      <c r="P22" s="75">
        <f>IF(OR(N22="",O22="",O22=0),"",N22/O22)</f>
        <v/>
      </c>
      <c r="Q22" s="81" t="n"/>
    </row>
    <row r="23">
      <c r="A23" s="133" t="inlineStr">
        <is>
          <t>XL</t>
        </is>
      </c>
      <c r="B23" s="80" t="inlineStr">
        <is>
          <t>25 mm</t>
        </is>
      </c>
      <c r="C23" s="74" t="n"/>
      <c r="D23" s="79" t="n"/>
      <c r="E23" s="79" t="n"/>
      <c r="F23" s="74" t="n"/>
      <c r="G23" s="74" t="n"/>
      <c r="H23" s="74" t="n"/>
      <c r="I23" s="74" t="n"/>
      <c r="J23" s="79" t="n"/>
      <c r="K23" s="79" t="n"/>
      <c r="L23" s="83" t="n"/>
      <c r="M23" s="83" t="n"/>
      <c r="N23" s="84">
        <f>IF(OR(L23="",M23=""),"",SQRT(0.5*(L23^2+M23^2)))</f>
        <v/>
      </c>
      <c r="O23" s="84">
        <f>IFERROR(A_Bench!R15,"")</f>
        <v/>
      </c>
      <c r="P23" s="75">
        <f>IF(OR(N23="",O23="",O23=0),"",N23/O23)</f>
        <v/>
      </c>
      <c r="Q23" s="81" t="n"/>
    </row>
    <row r="25">
      <c r="A25" s="76" t="inlineStr">
        <is>
          <t>E3 - TIMING RECOVERY   (how precisely can a strobe edge be read off the rolling shutter?)</t>
        </is>
      </c>
    </row>
    <row r="26">
      <c r="A26" s="66" t="inlineStr">
        <is>
          <t>Catch a frame containing an ON-&gt;OFF or OFF-&gt;ON transition. The boundary row is when the edge happened. Transition width is how many rows it takes to go from lit to dark - that width, times the row time, IS your timing resolution.</t>
        </is>
      </c>
    </row>
    <row r="27" ht="32" customHeight="1">
      <c r="A27" s="77" t="inlineStr">
        <is>
          <t>Trial</t>
        </is>
      </c>
      <c r="B27" s="77" t="inlineStr">
        <is>
          <t>Edge
(ON-&gt;OFF / OFF-&gt;ON)</t>
        </is>
      </c>
      <c r="C27" s="77" t="inlineStr">
        <is>
          <t>Boundary
row</t>
        </is>
      </c>
      <c r="D27" s="77" t="inlineStr">
        <is>
          <t>Transition width
(rows)</t>
        </is>
      </c>
      <c r="E27" s="77" t="inlineStr">
        <is>
          <t>Timing resolution
(us)</t>
        </is>
      </c>
      <c r="F27" s="77" t="inlineStr">
        <is>
          <t>Notes</t>
        </is>
      </c>
    </row>
    <row r="28">
      <c r="A28" s="85" t="n">
        <v>1</v>
      </c>
      <c r="B28" s="78" t="n"/>
      <c r="C28" s="74" t="n"/>
      <c r="D28" s="74" t="n"/>
      <c r="E28" s="86">
        <f>IF(OR(D28="",$B$3=""),"",D28*$B$3)</f>
        <v/>
      </c>
      <c r="F28" s="81" t="n"/>
    </row>
    <row r="29">
      <c r="A29" s="85" t="n">
        <v>2</v>
      </c>
      <c r="B29" s="78" t="n"/>
      <c r="C29" s="74" t="n"/>
      <c r="D29" s="74" t="n"/>
      <c r="E29" s="86">
        <f>IF(OR(D29="",$B$3=""),"",D29*$B$3)</f>
        <v/>
      </c>
      <c r="F29" s="81" t="n"/>
    </row>
    <row r="30">
      <c r="A30" s="85" t="n">
        <v>3</v>
      </c>
      <c r="B30" s="78" t="n"/>
      <c r="C30" s="74" t="n"/>
      <c r="D30" s="74" t="n"/>
      <c r="E30" s="86">
        <f>IF(OR(D30="",$B$3=""),"",D30*$B$3)</f>
        <v/>
      </c>
      <c r="F30" s="81" t="n"/>
    </row>
    <row r="31">
      <c r="A31" s="85" t="n">
        <v>4</v>
      </c>
      <c r="B31" s="78" t="n"/>
      <c r="C31" s="74" t="n"/>
      <c r="D31" s="74" t="n"/>
      <c r="E31" s="86">
        <f>IF(OR(D31="",$B$3=""),"",D31*$B$3)</f>
        <v/>
      </c>
      <c r="F31" s="81" t="n"/>
    </row>
    <row r="32">
      <c r="A32" s="85" t="n">
        <v>5</v>
      </c>
      <c r="B32" s="78" t="n"/>
      <c r="C32" s="74" t="n"/>
      <c r="D32" s="74" t="n"/>
      <c r="E32" s="86">
        <f>IF(OR(D32="",$B$3=""),"",D32*$B$3)</f>
        <v/>
      </c>
      <c r="F32" s="81" t="n"/>
    </row>
    <row r="33">
      <c r="A33" s="85" t="n">
        <v>6</v>
      </c>
      <c r="B33" s="78" t="n"/>
      <c r="C33" s="74" t="n"/>
      <c r="D33" s="74" t="n"/>
      <c r="E33" s="86">
        <f>IF(OR(D33="",$B$3=""),"",D33*$B$3)</f>
        <v/>
      </c>
      <c r="F33" s="81" t="n"/>
    </row>
    <row r="34">
      <c r="A34" s="85" t="n">
        <v>7</v>
      </c>
      <c r="B34" s="78" t="n"/>
      <c r="C34" s="74" t="n"/>
      <c r="D34" s="74" t="n"/>
      <c r="E34" s="86">
        <f>IF(OR(D34="",$B$3=""),"",D34*$B$3)</f>
        <v/>
      </c>
      <c r="F34" s="81" t="n"/>
    </row>
    <row r="35">
      <c r="A35" s="85" t="n">
        <v>8</v>
      </c>
      <c r="B35" s="78" t="n"/>
      <c r="C35" s="74" t="n"/>
      <c r="D35" s="74" t="n"/>
      <c r="E35" s="86">
        <f>IF(OR(D35="",$B$3=""),"",D35*$B$3)</f>
        <v/>
      </c>
      <c r="F35" s="81" t="n"/>
    </row>
    <row r="36">
      <c r="A36" s="85" t="n">
        <v>9</v>
      </c>
      <c r="B36" s="78" t="n"/>
      <c r="C36" s="74" t="n"/>
      <c r="D36" s="74" t="n"/>
      <c r="E36" s="86">
        <f>IF(OR(D36="",$B$3=""),"",D36*$B$3)</f>
        <v/>
      </c>
      <c r="F36" s="81" t="n"/>
    </row>
    <row r="37">
      <c r="A37" s="85" t="n">
        <v>10</v>
      </c>
      <c r="B37" s="78" t="n"/>
      <c r="C37" s="74" t="n"/>
      <c r="D37" s="74" t="n"/>
      <c r="E37" s="86">
        <f>IF(OR(D37="",$B$3=""),"",D37*$B$3)</f>
        <v/>
      </c>
      <c r="F37" s="81" t="n"/>
    </row>
    <row r="38">
      <c r="D38" s="87" t="inlineStr">
        <is>
          <t>mean</t>
        </is>
      </c>
      <c r="E38" s="88">
        <f>IF(COUNT(E28:E37)=0,"",AVERAGE(E28:E37))</f>
        <v/>
      </c>
    </row>
    <row r="39">
      <c r="D39" s="87" t="inlineStr">
        <is>
          <t>SD</t>
        </is>
      </c>
      <c r="E39" s="88">
        <f>IFERROR(STDEV(E28:E37),"")</f>
        <v/>
      </c>
    </row>
    <row r="40">
      <c r="D40" s="87" t="inlineStr">
        <is>
          <t>wand err</t>
        </is>
      </c>
      <c r="E40" s="89">
        <f>IF(OR(E38="",$B$42="",$B$43=""),"",E38*$B$42*$B$43/1000000)</f>
        <v/>
      </c>
      <c r="F40" s="73" t="inlineStr">
        <is>
          <t>px of reprojection error at the wand speed below</t>
        </is>
      </c>
    </row>
    <row r="42">
      <c r="A42" s="71" t="inlineStr">
        <is>
          <t>Wand speed (m/s)</t>
        </is>
      </c>
      <c r="B42" s="79" t="n">
        <v>0.3</v>
      </c>
    </row>
    <row r="43">
      <c r="A43" s="71" t="inlineStr">
        <is>
          <t>Image scale (px/s per m/s)</t>
        </is>
      </c>
      <c r="B43" s="74" t="n">
        <v>1300</v>
      </c>
      <c r="C43" s="73" t="inlineStr">
        <is>
          <t>~f_px/distance. PROVISIONAL until the intrinsics are calibrated</t>
        </is>
      </c>
    </row>
    <row r="44">
      <c r="A44" s="71" t="inlineStr">
        <is>
          <t>Timing error budget (us)</t>
        </is>
      </c>
      <c r="B44" s="90">
        <f>IF(OR(B42="",B43="",B42=0,B43=0),"",0.1/(B42*B43)*1000000)</f>
        <v/>
      </c>
      <c r="C44" s="73" t="inlineStr">
        <is>
          <t>how much timing error costs 0.1 px at that wand speed</t>
        </is>
      </c>
    </row>
    <row r="46">
      <c r="A46" s="76" t="inlineStr">
        <is>
          <t>HOW TO READ THIS</t>
        </is>
      </c>
    </row>
    <row r="47">
      <c r="A47" s="91" t="inlineStr">
        <is>
          <t>E1 finds the MINIMUM pulse width. Rolling shutter means row r starts integrating r x 21.3 us after row 0, so a pulse shorter than (marker row span x row time + exposure) lights only some of the marker's rows. That is a centroid BIAS that moves with the LED-camera phase, and the EKF cannot see it. Cell B5 computes the floor for you.</t>
        </is>
      </c>
    </row>
    <row r="48">
      <c r="A48" s="91" t="inlineStr">
        <is>
          <t>Banding from a short pulse looks like banding from saturation, which was measured on this sensor on 2026-08-30. Tell them apart: saturation banding only appears when the blob CLIPS (unsaturated, even and odd rows matched to 0.3%), while strobe banding shows a sharp boundary row and appears whether or not it clips.</t>
        </is>
      </c>
    </row>
    <row r="49">
      <c r="A49" s="91" t="inlineStr">
        <is>
          <t>E2 checks that pulsing has not changed the marker optically. Fill and blobs are geometry and should not move at all. If Pulsed/DC sigma is near 1.00 the strobe is harmless; if it is above ~1.2 the pulse is too short, the duty is starving the exposure, or the supply is sagging under the pulse.</t>
        </is>
      </c>
    </row>
    <row r="50">
      <c r="A50" s="91" t="inlineStr">
        <is>
          <t>E3 turns the rolling shutter into a clock. Each row is a distinct timestamp, so the row where the strobe edge lands says WHEN the edge happened to about one row time - roughly 21 us, against 10-30 ms for frame-level alignment. That is the whole reason this works without hardware sync.</t>
        </is>
      </c>
    </row>
    <row r="51">
      <c r="A51" s="91" t="inlineStr">
        <is>
          <t>The budget cell converts timing error into reprojection error at your wand speed. At 0.3 m/s and ~1300 px/s per m/s, 0.1 px costs about 250 us - comfortably inside one row time, so gentle wand motion plus edge reading should be plenty.</t>
        </is>
      </c>
    </row>
    <row r="52">
      <c r="A52" s="91" t="inlineStr">
        <is>
          <t>Drive notes: a series resistor off 9 V cannot pulse. The string needs a MOSFET and a bulk capacitor across it, because a PP3 has high internal resistance and only ~2.6 V of headroom - a current spike will sag the battery and modulate your own brightness. Verify with a fixed-exposure drift run: peak held 180.9-183.0 over 75 s on DC, so any wobble under pulse is the supply, not the LED.</t>
        </is>
      </c>
    </row>
    <row r="53">
      <c r="A53" s="91" t="inlineStr">
        <is>
          <t>Duty vs pulse width pull in opposite directions. Pulsed overdrive needs LOW duty; uniform illumination needs a LONG pulse. Both are satisfiable only by lengthening the PERIOD - but the marker must be lit during EVERY tracking exposure, so a low-duty strobe will make most frames blank. Prefer mostly-ON with brief OFF gaps: tracking continues, and the OFF edges carry the timing.</t>
        </is>
      </c>
    </row>
  </sheetData>
  <pageMargins left="0.75" right="0.75" top="1" bottom="1" header="0.5" footer="0.5"/>
</worksheet>
</file>

<file path=xl/worksheets/sheet9.xml><?xml version="1.0" encoding="utf-8"?>
<worksheet xmlns="http://schemas.openxmlformats.org/spreadsheetml/2006/main">
  <sheetPr>
    <tabColor rgb="FF1F3864"/>
    <outlinePr summaryBelow="1" summaryRight="1"/>
    <pageSetUpPr/>
  </sheetPr>
  <dimension ref="A1:M88"/>
  <sheetViews>
    <sheetView showGridLines="0" workbookViewId="0">
      <pane ySplit="5" topLeftCell="A6" activePane="bottomLeft" state="frozen"/>
      <selection pane="bottomLeft" activeCell="A1" sqref="A1"/>
    </sheetView>
  </sheetViews>
  <sheetFormatPr baseColWidth="8" defaultRowHeight="15"/>
  <cols>
    <col width="30" customWidth="1" min="1" max="1"/>
    <col width="13" customWidth="1" min="2" max="2"/>
    <col width="12" customWidth="1" min="3" max="3"/>
    <col width="10" customWidth="1" min="4" max="4"/>
    <col width="10" customWidth="1" min="5" max="5"/>
    <col width="10" customWidth="1" min="6" max="6"/>
    <col width="12" customWidth="1" min="7" max="7"/>
    <col width="12" customWidth="1" min="8" max="8"/>
    <col width="13" customWidth="1" min="9" max="9"/>
    <col width="12" customWidth="1" min="10" max="10"/>
    <col width="12" customWidth="1" min="11" max="11"/>
    <col width="13" customWidth="1" min="12" max="12"/>
    <col width="34" customWidth="1" min="13" max="13"/>
  </cols>
  <sheetData>
    <row r="1">
      <c r="A1" s="65" t="inlineStr">
        <is>
          <t>TEST F - Ambient IR and threshold headroom</t>
        </is>
      </c>
    </row>
    <row r="2">
      <c r="A2" s="66" t="inlineStr">
        <is>
          <t>Decides whether the long-exposure strobe scheme (Test E, regime B) is available. A long exposure collects a long dose of background. Raising THRESH_LO hides the background OFFSET but not its NOISE, and it does not recover the dynamic range the pedestal eats.</t>
        </is>
      </c>
    </row>
    <row r="4">
      <c r="A4" s="76" t="inlineStr">
        <is>
          <t>F1 - BACKGROUND vs EXPOSURE   (LEDs OFF, under the lighting you will actually calibrate in)</t>
        </is>
      </c>
    </row>
    <row r="5" ht="32" customHeight="1">
      <c r="A5" s="77" t="inlineStr">
        <is>
          <t>Condition</t>
        </is>
      </c>
      <c r="B5" s="77" t="inlineStr">
        <is>
          <t>Exposure
(us, requested)</t>
        </is>
      </c>
      <c r="C5" s="77" t="inlineStr">
        <is>
          <t>Exposure
(us, actual)</t>
        </is>
      </c>
      <c r="D5" s="77" t="inlineStr">
        <is>
          <t>bg mean</t>
        </is>
      </c>
      <c r="E5" s="77" t="inlineStr">
        <is>
          <t>bg SD</t>
        </is>
      </c>
      <c r="F5" s="77" t="inlineStr">
        <is>
          <t>bg max</t>
        </is>
      </c>
      <c r="G5" s="77" t="inlineStr">
        <is>
          <t>Uniformity
(max-min)</t>
        </is>
      </c>
      <c r="H5" s="77" t="inlineStr">
        <is>
          <t>Headroom
(255-max)</t>
        </is>
      </c>
      <c r="I5" s="77" t="inlineStr">
        <is>
          <t>REFINE_FLOOR
needed</t>
        </is>
      </c>
      <c r="J5" s="77" t="inlineStr">
        <is>
          <t>Usable?</t>
        </is>
      </c>
      <c r="K5" s="77" t="inlineStr">
        <is>
          <t>Notes</t>
        </is>
      </c>
    </row>
    <row r="6">
      <c r="A6" s="78" t="inlineStr">
        <is>
          <t>as-is 2026-09-03</t>
        </is>
      </c>
      <c r="B6" s="85" t="n">
        <v>100</v>
      </c>
      <c r="C6" s="74" t="n">
        <v>85</v>
      </c>
      <c r="D6" s="72" t="n">
        <v>3.6</v>
      </c>
      <c r="E6" s="74" t="n">
        <v>0.5</v>
      </c>
      <c r="F6" s="74" t="n">
        <v>4</v>
      </c>
      <c r="G6" s="74" t="n">
        <v>1</v>
      </c>
      <c r="H6" s="85">
        <f>IF(F6="","",255-F6)</f>
        <v/>
      </c>
      <c r="I6" s="85">
        <f>IF(OR(D6="",E6=""),"",D6+3*E6)</f>
        <v/>
      </c>
      <c r="J6" s="80">
        <f>IF(F6="","",IF(F6&lt;40,"ok",IF(F6&lt;80,"marginal","FLOODED")))</f>
        <v/>
      </c>
      <c r="K6" s="81" t="inlineStr">
        <is>
          <t>flat with exposure - this is the sensor black level, not light</t>
        </is>
      </c>
    </row>
    <row r="7">
      <c r="A7" s="78" t="inlineStr">
        <is>
          <t>as-is 2026-09-03</t>
        </is>
      </c>
      <c r="B7" s="85" t="n">
        <v>500</v>
      </c>
      <c r="C7" s="74" t="n">
        <v>493</v>
      </c>
      <c r="D7" s="72" t="n">
        <v>3.6</v>
      </c>
      <c r="E7" s="74" t="n">
        <v>0.5</v>
      </c>
      <c r="F7" s="74" t="n">
        <v>4</v>
      </c>
      <c r="G7" s="74" t="n">
        <v>1</v>
      </c>
      <c r="H7" s="85">
        <f>IF(F7="","",255-F7)</f>
        <v/>
      </c>
      <c r="I7" s="85">
        <f>IF(OR(D7="",E7=""),"",D7+3*E7)</f>
        <v/>
      </c>
      <c r="J7" s="80">
        <f>IF(F7="","",IF(F7&lt;40,"ok",IF(F7&lt;80,"marginal","FLOODED")))</f>
        <v/>
      </c>
      <c r="K7" s="81" t="inlineStr"/>
    </row>
    <row r="8">
      <c r="A8" s="78" t="inlineStr">
        <is>
          <t>as-is 2026-09-03</t>
        </is>
      </c>
      <c r="B8" s="85" t="n">
        <v>1000</v>
      </c>
      <c r="C8" s="74" t="n">
        <v>986</v>
      </c>
      <c r="D8" s="72" t="n">
        <v>3.6</v>
      </c>
      <c r="E8" s="74" t="n">
        <v>0.5</v>
      </c>
      <c r="F8" s="74" t="n">
        <v>4</v>
      </c>
      <c r="G8" s="74" t="n">
        <v>2</v>
      </c>
      <c r="H8" s="85">
        <f>IF(F8="","",255-F8)</f>
        <v/>
      </c>
      <c r="I8" s="85">
        <f>IF(OR(D8="",E8=""),"",D8+3*E8)</f>
        <v/>
      </c>
      <c r="J8" s="80">
        <f>IF(F8="","",IF(F8&lt;40,"ok",IF(F8&lt;80,"marginal","FLOODED")))</f>
        <v/>
      </c>
      <c r="K8" s="81" t="inlineStr"/>
    </row>
    <row r="9">
      <c r="A9" s="78" t="inlineStr">
        <is>
          <t>as-is 2026-09-03</t>
        </is>
      </c>
      <c r="B9" s="85" t="n">
        <v>2000</v>
      </c>
      <c r="C9" s="74" t="n">
        <v>1994</v>
      </c>
      <c r="D9" s="72" t="n">
        <v>3.6</v>
      </c>
      <c r="E9" s="74" t="n">
        <v>0.5</v>
      </c>
      <c r="F9" s="74" t="n">
        <v>4</v>
      </c>
      <c r="G9" s="74" t="n">
        <v>1</v>
      </c>
      <c r="H9" s="85">
        <f>IF(F9="","",255-F9)</f>
        <v/>
      </c>
      <c r="I9" s="85">
        <f>IF(OR(D9="",E9=""),"",D9+3*E9)</f>
        <v/>
      </c>
      <c r="J9" s="80">
        <f>IF(F9="","",IF(F9&lt;40,"ok",IF(F9&lt;80,"marginal","FLOODED")))</f>
        <v/>
      </c>
      <c r="K9" s="81" t="inlineStr"/>
    </row>
    <row r="10">
      <c r="A10" s="78" t="inlineStr">
        <is>
          <t>as-is 2026-09-03</t>
        </is>
      </c>
      <c r="B10" s="85" t="n">
        <v>5000</v>
      </c>
      <c r="C10" s="74" t="n">
        <v>4997</v>
      </c>
      <c r="D10" s="72" t="n">
        <v>3.5</v>
      </c>
      <c r="E10" s="74" t="n">
        <v>0.5</v>
      </c>
      <c r="F10" s="74" t="n">
        <v>4</v>
      </c>
      <c r="G10" s="74" t="n">
        <v>2</v>
      </c>
      <c r="H10" s="85">
        <f>IF(F10="","",255-F10)</f>
        <v/>
      </c>
      <c r="I10" s="85">
        <f>IF(OR(D10="",E10=""),"",D10+3*E10)</f>
        <v/>
      </c>
      <c r="J10" s="80">
        <f>IF(F10="","",IF(F10&lt;40,"ok",IF(F10&lt;80,"marginal","FLOODED")))</f>
        <v/>
      </c>
      <c r="K10" s="81" t="inlineStr"/>
    </row>
    <row r="11">
      <c r="A11" s="78" t="inlineStr">
        <is>
          <t>as-is 2026-09-03</t>
        </is>
      </c>
      <c r="B11" s="85" t="n">
        <v>10000</v>
      </c>
      <c r="C11" s="74" t="n">
        <v>9995</v>
      </c>
      <c r="D11" s="72" t="n">
        <v>3.5</v>
      </c>
      <c r="E11" s="74" t="n">
        <v>0.5</v>
      </c>
      <c r="F11" s="74" t="n">
        <v>4</v>
      </c>
      <c r="G11" s="74" t="n">
        <v>2</v>
      </c>
      <c r="H11" s="85">
        <f>IF(F11="","",255-F11)</f>
        <v/>
      </c>
      <c r="I11" s="85">
        <f>IF(OR(D11="",E11=""),"",D11+3*E11)</f>
        <v/>
      </c>
      <c r="J11" s="80">
        <f>IF(F11="","",IF(F11&lt;40,"ok",IF(F11&lt;80,"marginal","FLOODED")))</f>
        <v/>
      </c>
      <c r="K11" s="81" t="inlineStr"/>
    </row>
    <row r="12">
      <c r="A12" s="78" t="inlineStr">
        <is>
          <t>as-is 2026-09-03</t>
        </is>
      </c>
      <c r="B12" s="85" t="n">
        <v>20000</v>
      </c>
      <c r="C12" s="74" t="n">
        <v>19991</v>
      </c>
      <c r="D12" s="72" t="n">
        <v>3.5</v>
      </c>
      <c r="E12" s="74" t="n">
        <v>0.5</v>
      </c>
      <c r="F12" s="74" t="n">
        <v>4</v>
      </c>
      <c r="G12" s="74" t="n">
        <v>2</v>
      </c>
      <c r="H12" s="85">
        <f>IF(F12="","",255-F12)</f>
        <v/>
      </c>
      <c r="I12" s="85">
        <f>IF(OR(D12="",E12=""),"",D12+3*E12)</f>
        <v/>
      </c>
      <c r="J12" s="80">
        <f>IF(F12="","",IF(F12&lt;40,"ok",IF(F12&lt;80,"marginal","FLOODED")))</f>
        <v/>
      </c>
      <c r="K12" s="81" t="inlineStr"/>
    </row>
    <row r="13">
      <c r="A13" s="78" t="inlineStr">
        <is>
          <t>as-is 2026-09-03</t>
        </is>
      </c>
      <c r="B13" s="85" t="n">
        <v>30000</v>
      </c>
      <c r="C13" s="74" t="n">
        <v>29987</v>
      </c>
      <c r="D13" s="72" t="n">
        <v>3.5</v>
      </c>
      <c r="E13" s="74" t="n">
        <v>0.5</v>
      </c>
      <c r="F13" s="74" t="n">
        <v>4</v>
      </c>
      <c r="G13" s="74" t="n">
        <v>2</v>
      </c>
      <c r="H13" s="85">
        <f>IF(F13="","",255-F13)</f>
        <v/>
      </c>
      <c r="I13" s="85">
        <f>IF(OR(D13="",E13=""),"",D13+3*E13)</f>
        <v/>
      </c>
      <c r="J13" s="80">
        <f>IF(F13="","",IF(F13&lt;40,"ok",IF(F13&lt;80,"marginal","FLOODED")))</f>
        <v/>
      </c>
      <c r="K13" s="81" t="inlineStr"/>
    </row>
    <row r="14">
      <c r="A14" s="93" t="inlineStr">
        <is>
          <t>Repeat the same ladder for each condition you can create: blinds closed, lights off, at night, and with a narrowband 850 nm filter if you get one. Copy rows and change the Condition label.</t>
        </is>
      </c>
    </row>
    <row r="15">
      <c r="A15" s="119" t="inlineStr">
        <is>
          <t>RESULT: background does not scale with exposure AT ALL over 300x (85 us to 30 ms): mean 3.5-3.6, SD 0.5, max 4, uniformity 1-2 counts. That is the sensor's black-level pedestal, not ambient light - there is effectively NO ambient IR reaching the sensor in these conditions. Long-exposure strobing (Test E regime B) is fully available, and F2/F3 below are unnecessary: there is no background to threshold away and none to add shot noise. RE-RUN this ladder under daylight before trusting it for a daytime session.</t>
        </is>
      </c>
    </row>
    <row r="16">
      <c r="A16" s="76" t="inlineStr">
        <is>
          <t>F2 - DOES RAISING THRESH_LO RESCUE IT?   (marker lit, at the longest exposure F1 allows)</t>
        </is>
      </c>
    </row>
    <row r="17" ht="32" customHeight="1">
      <c r="A17" s="77" t="inlineStr">
        <is>
          <t>THRESH_LO</t>
        </is>
      </c>
      <c r="B17" s="77" t="inlineStr">
        <is>
          <t>REFINE_FLOOR</t>
        </is>
      </c>
      <c r="C17" s="77" t="inlineStr">
        <is>
          <t>Exposure
(us)</t>
        </is>
      </c>
      <c r="D17" s="77" t="inlineStr">
        <is>
          <t>Peak</t>
        </is>
      </c>
      <c r="E17" s="77" t="inlineStr">
        <is>
          <t>bg max</t>
        </is>
      </c>
      <c r="F17" s="77" t="inlineStr">
        <is>
          <t>blobs</t>
        </is>
      </c>
      <c r="G17" s="77" t="inlineStr">
        <is>
          <t>Sensor area
(px)</t>
        </is>
      </c>
      <c r="H17" s="77" t="inlineStr">
        <is>
          <t>Fill</t>
        </is>
      </c>
      <c r="I17" s="77" t="inlineStr">
        <is>
          <t>sigma_u
(px)</t>
        </is>
      </c>
      <c r="J17" s="77" t="inlineStr">
        <is>
          <t>sigma_v
(px)</t>
        </is>
      </c>
      <c r="K17" s="77" t="inlineStr">
        <is>
          <t>sigma_RMS
(px)</t>
        </is>
      </c>
      <c r="L17" s="77" t="inlineStr">
        <is>
          <t>vs low-bg sigma</t>
        </is>
      </c>
      <c r="M17" s="77" t="inlineStr">
        <is>
          <t>Notes</t>
        </is>
      </c>
    </row>
    <row r="18">
      <c r="A18" s="85" t="n">
        <v>80</v>
      </c>
      <c r="B18" s="74" t="n"/>
      <c r="C18" s="74" t="n"/>
      <c r="D18" s="74" t="n"/>
      <c r="E18" s="74" t="n"/>
      <c r="F18" s="74" t="n"/>
      <c r="G18" s="74" t="n"/>
      <c r="H18" s="79" t="n"/>
      <c r="I18" s="83" t="n"/>
      <c r="J18" s="83" t="n"/>
      <c r="K18" s="84">
        <f>IF(OR(I18="",J18=""),"",SQRT(0.5*(I18^2+J18^2)))</f>
        <v/>
      </c>
      <c r="L18" s="75">
        <f>IF(OR(K18="",$K$25="",$K$25=0),"",K18/$K$25)</f>
        <v/>
      </c>
      <c r="M18" s="81" t="n"/>
    </row>
    <row r="19">
      <c r="A19" s="85" t="n">
        <v>100</v>
      </c>
      <c r="B19" s="74" t="n"/>
      <c r="C19" s="74" t="n"/>
      <c r="D19" s="74" t="n"/>
      <c r="E19" s="74" t="n"/>
      <c r="F19" s="74" t="n"/>
      <c r="G19" s="74" t="n"/>
      <c r="H19" s="79" t="n"/>
      <c r="I19" s="83" t="n"/>
      <c r="J19" s="83" t="n"/>
      <c r="K19" s="84">
        <f>IF(OR(I19="",J19=""),"",SQRT(0.5*(I19^2+J19^2)))</f>
        <v/>
      </c>
      <c r="L19" s="75">
        <f>IF(OR(K19="",$K$25="",$K$25=0),"",K19/$K$25)</f>
        <v/>
      </c>
      <c r="M19" s="81" t="n"/>
    </row>
    <row r="20">
      <c r="A20" s="85" t="n">
        <v>120</v>
      </c>
      <c r="B20" s="74" t="n"/>
      <c r="C20" s="74" t="n"/>
      <c r="D20" s="74" t="n"/>
      <c r="E20" s="74" t="n"/>
      <c r="F20" s="74" t="n"/>
      <c r="G20" s="74" t="n"/>
      <c r="H20" s="79" t="n"/>
      <c r="I20" s="83" t="n"/>
      <c r="J20" s="83" t="n"/>
      <c r="K20" s="84">
        <f>IF(OR(I20="",J20=""),"",SQRT(0.5*(I20^2+J20^2)))</f>
        <v/>
      </c>
      <c r="L20" s="75">
        <f>IF(OR(K20="",$K$25="",$K$25=0),"",K20/$K$25)</f>
        <v/>
      </c>
      <c r="M20" s="81" t="n"/>
    </row>
    <row r="21">
      <c r="A21" s="85" t="n">
        <v>150</v>
      </c>
      <c r="B21" s="74" t="n"/>
      <c r="C21" s="74" t="n"/>
      <c r="D21" s="74" t="n"/>
      <c r="E21" s="74" t="n"/>
      <c r="F21" s="74" t="n"/>
      <c r="G21" s="74" t="n"/>
      <c r="H21" s="79" t="n"/>
      <c r="I21" s="83" t="n"/>
      <c r="J21" s="83" t="n"/>
      <c r="K21" s="84">
        <f>IF(OR(I21="",J21=""),"",SQRT(0.5*(I21^2+J21^2)))</f>
        <v/>
      </c>
      <c r="L21" s="75">
        <f>IF(OR(K21="",$K$25="",$K$25=0),"",K21/$K$25)</f>
        <v/>
      </c>
      <c r="M21" s="81" t="n"/>
    </row>
    <row r="22">
      <c r="A22" s="85" t="n">
        <v>180</v>
      </c>
      <c r="B22" s="74" t="n"/>
      <c r="C22" s="74" t="n"/>
      <c r="D22" s="74" t="n"/>
      <c r="E22" s="74" t="n"/>
      <c r="F22" s="74" t="n"/>
      <c r="G22" s="74" t="n"/>
      <c r="H22" s="79" t="n"/>
      <c r="I22" s="83" t="n"/>
      <c r="J22" s="83" t="n"/>
      <c r="K22" s="84">
        <f>IF(OR(I22="",J22=""),"",SQRT(0.5*(I22^2+J22^2)))</f>
        <v/>
      </c>
      <c r="L22" s="75">
        <f>IF(OR(K22="",$K$25="",$K$25=0),"",K22/$K$25)</f>
        <v/>
      </c>
      <c r="M22" s="81" t="n"/>
    </row>
    <row r="24">
      <c r="A24" s="76" t="inlineStr">
        <is>
          <t>F3 - THE DECISIVE TEST: same peak, different background</t>
        </is>
      </c>
    </row>
    <row r="25">
      <c r="A25" s="66" t="inlineStr">
        <is>
          <t>Target BOTH rows to peak 200-230 so the signal is identical, and change only the background. If sigma is the same, the background is only an offset and a higher threshold really does rescue you. If sigma degrades, you are paying in shot noise and no threshold can give that back.</t>
        </is>
      </c>
    </row>
    <row r="26" ht="32" customHeight="1">
      <c r="A26" s="77" t="inlineStr">
        <is>
          <t>Case</t>
        </is>
      </c>
      <c r="B26" s="77" t="inlineStr">
        <is>
          <t>Exposure
(us)</t>
        </is>
      </c>
      <c r="C26" s="77" t="inlineStr">
        <is>
          <t>bg mean</t>
        </is>
      </c>
      <c r="D26" s="77" t="inlineStr">
        <is>
          <t>bg max</t>
        </is>
      </c>
      <c r="E26" s="77" t="inlineStr">
        <is>
          <t>THRESH_LO</t>
        </is>
      </c>
      <c r="F26" s="77" t="inlineStr">
        <is>
          <t>REFINE_FLOOR</t>
        </is>
      </c>
      <c r="G26" s="77" t="inlineStr">
        <is>
          <t>Peak</t>
        </is>
      </c>
      <c r="H26" s="77" t="inlineStr">
        <is>
          <t>Sensor area
(px)</t>
        </is>
      </c>
      <c r="I26" s="77" t="inlineStr">
        <is>
          <t>Fill</t>
        </is>
      </c>
      <c r="J26" s="77" t="inlineStr">
        <is>
          <t>sigma_u
(px)</t>
        </is>
      </c>
      <c r="K26" s="77" t="inlineStr">
        <is>
          <t>sigma_v
(px)</t>
        </is>
      </c>
      <c r="L26" s="77" t="inlineStr">
        <is>
          <t>sigma_RMS
(px)</t>
        </is>
      </c>
      <c r="M26" s="77" t="inlineStr">
        <is>
          <t>Notes</t>
        </is>
      </c>
    </row>
    <row r="27">
      <c r="A27" s="133" t="inlineStr">
        <is>
          <t>A: short exposure, low background</t>
        </is>
      </c>
      <c r="B27" s="74" t="n"/>
      <c r="C27" s="74" t="n"/>
      <c r="D27" s="74" t="n"/>
      <c r="E27" s="74" t="n"/>
      <c r="F27" s="74" t="n"/>
      <c r="G27" s="74" t="n"/>
      <c r="H27" s="74" t="n"/>
      <c r="I27" s="79" t="n"/>
      <c r="J27" s="83" t="n"/>
      <c r="K27" s="83" t="n"/>
      <c r="L27" s="84">
        <f>IF(OR(J27="",K27=""),"",SQRT(0.5*(J27^2+K27^2)))</f>
        <v/>
      </c>
      <c r="M27" s="81" t="n"/>
    </row>
    <row r="28">
      <c r="A28" s="133" t="inlineStr">
        <is>
          <t>B: long exposure, high background</t>
        </is>
      </c>
      <c r="B28" s="74" t="n"/>
      <c r="C28" s="74" t="n"/>
      <c r="D28" s="74" t="n"/>
      <c r="E28" s="74" t="n"/>
      <c r="F28" s="74" t="n"/>
      <c r="G28" s="74" t="n"/>
      <c r="H28" s="74" t="n"/>
      <c r="I28" s="79" t="n"/>
      <c r="J28" s="83" t="n"/>
      <c r="K28" s="83" t="n"/>
      <c r="L28" s="84">
        <f>IF(OR(J28="",K28=""),"",SQRT(0.5*(J28^2+K28^2)))</f>
        <v/>
      </c>
      <c r="M28" s="81" t="n"/>
    </row>
    <row r="29">
      <c r="A29" s="94" t="inlineStr">
        <is>
          <t>sigma penalty (B/A)</t>
        </is>
      </c>
      <c r="B29" s="95">
        <f>IF(OR(L27="",L28="",L27=0),"",L28/L27)</f>
        <v/>
      </c>
      <c r="C29" s="93" t="inlineStr">
        <is>
          <t>1.00 = background is only an offset. Above ~1.15 = you are paying in noise.</t>
        </is>
      </c>
    </row>
    <row r="32">
      <c r="A32" s="76" t="inlineStr">
        <is>
          <t>HOW TO READ THIS</t>
        </is>
      </c>
    </row>
    <row r="33">
      <c r="A33" s="91" t="inlineStr">
        <is>
          <t>A higher THRESH_LO removes the background OFFSET from detection. It does not remove the background's SHOT NOISE, which lands on the marker's own pixels and degrades the centroid regardless of where the threshold sits. F3 measures exactly that, and it is the number that settles the question.</t>
        </is>
      </c>
    </row>
    <row r="34">
      <c r="A34" s="91" t="inlineStr">
        <is>
          <t>A pedestal also eats DYNAMIC RANGE. Peak clips at 255, so a background of 120 leaves only 135 counts of signal instead of 255. The protocol targets peak 200-230 with Sat px = 0, and a big pedestal squeezes that band until you have to dim the LED - which costs SNR, the opposite of the intent.</t>
        </is>
      </c>
    </row>
    <row r="35">
      <c r="A35" s="91" t="inlineStr">
        <is>
          <t>REFINE_FLOOR must move with the background, not just THRESH_LO. It is subtracted before intensity weighting, so if it sits below the background the pedestal is weighted into the centroid and drags it toward the box centre. Keep it at or above background mean + 3 SD - column I of F1 computes that for you.</t>
        </is>
      </c>
    </row>
    <row r="36">
      <c r="A36" s="91" t="inlineStr">
        <is>
          <t>Watch UNIFORMITY, not just the mean. The tracker uses ONE global threshold. A window, a reflective surface or a sunlit patch makes the background vary across the frame, and then no single threshold both finds the marker in the bright region and rejects false blobs in the dark one. If max-min is large, the threshold approach is in trouble however high you set it.</t>
        </is>
      </c>
    </row>
    <row r="37">
      <c r="A37" s="91" t="inlineStr">
        <is>
          <t>A visible-light-cut filter is NOT a narrowband filter. It blocks visible and passes essentially ALL infrared, and daylight is extremely strong from 700-1100 nm - so it does not protect you from a sunlit room. All four of your LEDs are 850 nm parts, so an 850 nm BANDPASS filter (typically +/-10-20 nm) would reject most solar IR while passing the markers. That is the single biggest ambient win available and it is what commercial mocap uses.</t>
        </is>
      </c>
    </row>
    <row r="38">
      <c r="A38" s="91" t="inlineStr">
        <is>
          <t>Order of remedies, cheapest first: calibrate at night or black out the room; fit an 850 nm bandpass; shorten the exposure and accept fewer all-cameras-open flashes (Test E regime B probability); only then raise THRESH_LO.</t>
        </is>
      </c>
    </row>
    <row r="40">
      <c r="A40" s="76" t="inlineStr">
        <is>
          <t>F1b - DAYLIGHT, 2026-09-04   (the worst case, and the one that governs)</t>
        </is>
      </c>
    </row>
    <row r="41" ht="30" customHeight="1">
      <c r="A41" s="77" t="inlineStr">
        <is>
          <t>Condition</t>
        </is>
      </c>
      <c r="B41" s="77" t="inlineStr">
        <is>
          <t>Exposure req (us)</t>
        </is>
      </c>
      <c r="C41" s="77" t="inlineStr">
        <is>
          <t>Exposure act (us)</t>
        </is>
      </c>
      <c r="D41" s="77" t="inlineStr">
        <is>
          <t>bg mean</t>
        </is>
      </c>
      <c r="E41" s="77" t="inlineStr">
        <is>
          <t>bg SD</t>
        </is>
      </c>
      <c r="F41" s="77" t="inlineStr">
        <is>
          <t>bg max</t>
        </is>
      </c>
      <c r="G41" s="77" t="inlineStr">
        <is>
          <t>Uniformity (max-min)</t>
        </is>
      </c>
      <c r="H41" s="77" t="inlineStr">
        <is>
          <t>Headroom (255-max)</t>
        </is>
      </c>
      <c r="I41" s="77" t="inlineStr">
        <is>
          <t>REFINE_FLOOR needed</t>
        </is>
      </c>
      <c r="J41" s="77" t="inlineStr">
        <is>
          <t>Usable?</t>
        </is>
      </c>
      <c r="K41" s="77" t="inlineStr">
        <is>
          <t>Notes</t>
        </is>
      </c>
    </row>
    <row r="42">
      <c r="A42" s="80" t="inlineStr">
        <is>
          <t>daylight</t>
        </is>
      </c>
      <c r="B42" s="80" t="n">
        <v>100</v>
      </c>
      <c r="C42" s="80" t="n">
        <v>85</v>
      </c>
      <c r="D42" s="80" t="n">
        <v>4.7</v>
      </c>
      <c r="E42" s="80" t="n">
        <v>4.3</v>
      </c>
      <c r="F42" s="80" t="n">
        <v>58</v>
      </c>
      <c r="G42" s="80" t="n">
        <v>55</v>
      </c>
      <c r="H42" s="80" t="n">
        <v>197</v>
      </c>
      <c r="I42" s="80" t="n">
        <v>18</v>
      </c>
      <c r="J42" s="80" t="inlineStr">
        <is>
          <t>marginal</t>
        </is>
      </c>
    </row>
    <row r="43">
      <c r="A43" s="80" t="inlineStr">
        <is>
          <t>daylight</t>
        </is>
      </c>
      <c r="B43" s="80" t="n">
        <v>500</v>
      </c>
      <c r="C43" s="80" t="n">
        <v>493</v>
      </c>
      <c r="D43" s="80" t="n">
        <v>17.7</v>
      </c>
      <c r="E43" s="80" t="n">
        <v>23.7</v>
      </c>
      <c r="F43" s="80" t="n">
        <v>209</v>
      </c>
      <c r="G43" s="80" t="n">
        <v>206</v>
      </c>
      <c r="H43" s="80" t="n">
        <v>46</v>
      </c>
      <c r="I43" s="80" t="n">
        <v>89</v>
      </c>
      <c r="J43" s="80" t="inlineStr">
        <is>
          <t>FLOODED</t>
        </is>
      </c>
    </row>
    <row r="44">
      <c r="A44" s="80" t="inlineStr">
        <is>
          <t>daylight</t>
        </is>
      </c>
      <c r="B44" s="80" t="n">
        <v>1000</v>
      </c>
      <c r="C44" s="80" t="n">
        <v>986</v>
      </c>
      <c r="D44" s="80" t="n">
        <v>34.7</v>
      </c>
      <c r="E44" s="80" t="n">
        <v>37.7</v>
      </c>
      <c r="F44" s="80" t="n">
        <v>255</v>
      </c>
      <c r="G44" s="80" t="n">
        <v>252</v>
      </c>
      <c r="H44" s="80" t="n">
        <v>0</v>
      </c>
      <c r="I44" s="80" t="n">
        <v>148</v>
      </c>
      <c r="J44" s="80" t="inlineStr">
        <is>
          <t>FLOODED</t>
        </is>
      </c>
    </row>
    <row r="45">
      <c r="A45" s="80" t="inlineStr">
        <is>
          <t>daylight</t>
        </is>
      </c>
      <c r="B45" s="80" t="n">
        <v>2000</v>
      </c>
      <c r="C45" s="80" t="n">
        <v>1994</v>
      </c>
      <c r="D45" s="80" t="n">
        <v>62.9</v>
      </c>
      <c r="E45" s="80" t="n">
        <v>51.5</v>
      </c>
      <c r="F45" s="80" t="n">
        <v>255</v>
      </c>
      <c r="G45" s="80" t="n">
        <v>251</v>
      </c>
      <c r="H45" s="80" t="n">
        <v>0</v>
      </c>
      <c r="I45" s="80" t="n">
        <v>217</v>
      </c>
      <c r="J45" s="80" t="inlineStr">
        <is>
          <t>FLOODED</t>
        </is>
      </c>
    </row>
    <row r="46">
      <c r="A46" s="80" t="inlineStr">
        <is>
          <t>daylight</t>
        </is>
      </c>
      <c r="B46" s="80" t="n">
        <v>5000</v>
      </c>
      <c r="C46" s="80" t="n">
        <v>4997</v>
      </c>
      <c r="D46" s="80" t="n">
        <v>122.2</v>
      </c>
      <c r="E46" s="80" t="n">
        <v>57</v>
      </c>
      <c r="F46" s="80" t="n">
        <v>255</v>
      </c>
      <c r="G46" s="80" t="n">
        <v>245</v>
      </c>
      <c r="H46" s="80" t="n">
        <v>0</v>
      </c>
      <c r="I46" s="80" t="n">
        <v>293</v>
      </c>
      <c r="J46" s="80" t="inlineStr">
        <is>
          <t>FLOODED</t>
        </is>
      </c>
    </row>
    <row r="47">
      <c r="A47" s="80" t="inlineStr">
        <is>
          <t>daylight</t>
        </is>
      </c>
      <c r="B47" s="80" t="n">
        <v>10000</v>
      </c>
      <c r="C47" s="80" t="n">
        <v>9995</v>
      </c>
      <c r="D47" s="80" t="n">
        <v>178.6</v>
      </c>
      <c r="E47" s="80" t="n">
        <v>50.5</v>
      </c>
      <c r="F47" s="80" t="n">
        <v>255</v>
      </c>
      <c r="G47" s="80" t="n">
        <v>228</v>
      </c>
      <c r="H47" s="80" t="n">
        <v>0</v>
      </c>
      <c r="I47" s="80" t="n">
        <v>330</v>
      </c>
      <c r="J47" s="80" t="inlineStr">
        <is>
          <t>FLOODED</t>
        </is>
      </c>
    </row>
    <row r="48">
      <c r="A48" s="80" t="inlineStr">
        <is>
          <t>daylight</t>
        </is>
      </c>
      <c r="B48" s="80" t="n">
        <v>20000</v>
      </c>
      <c r="C48" s="80" t="n">
        <v>19991</v>
      </c>
      <c r="D48" s="80" t="n">
        <v>232.3</v>
      </c>
      <c r="E48" s="80" t="n">
        <v>41.9</v>
      </c>
      <c r="F48" s="80" t="n">
        <v>255</v>
      </c>
      <c r="G48" s="80" t="n">
        <v>199</v>
      </c>
      <c r="H48" s="80" t="n">
        <v>0</v>
      </c>
      <c r="I48" s="80" t="n">
        <v>358</v>
      </c>
      <c r="J48" s="80" t="inlineStr">
        <is>
          <t>FLOODED</t>
        </is>
      </c>
    </row>
    <row r="49">
      <c r="A49" s="80" t="inlineStr">
        <is>
          <t>daylight</t>
        </is>
      </c>
      <c r="B49" s="80" t="n">
        <v>30000</v>
      </c>
      <c r="C49" s="80" t="n">
        <v>29987</v>
      </c>
      <c r="D49" s="80" t="n">
        <v>244.4</v>
      </c>
      <c r="E49" s="80" t="n">
        <v>32.1</v>
      </c>
      <c r="F49" s="80" t="n">
        <v>255</v>
      </c>
      <c r="G49" s="80" t="n">
        <v>171</v>
      </c>
      <c r="H49" s="80" t="n">
        <v>0</v>
      </c>
      <c r="I49" s="80" t="n">
        <v>341</v>
      </c>
      <c r="J49" s="80" t="inlineStr">
        <is>
          <t>FLOODED</t>
        </is>
      </c>
    </row>
    <row r="51">
      <c r="A51" s="122" t="inlineStr">
        <is>
          <t>DAYLIGHT REVERSES THE NIGHT RESULT. Background now scales with exposure exactly as ambient light should. At 493 us the frame max is 209; by 986 us it clips. Usable ceiling is ~120 us frame-wide (85 us gives max 58; 80/58 x 85 = 117).</t>
        </is>
      </c>
    </row>
    <row r="52">
      <c r="A52" s="91" t="inlineStr">
        <is>
          <t>It is HIGHLY non-uniform and one-sided. An 8x6 map at 965 us: left half max 133-255, right half max 14-42. There is a window or sunlit surface on the left. Right-hand columns tolerate 2000-5500 us; left-hand ones 302 us.</t>
        </is>
      </c>
    </row>
    <row r="53">
      <c r="A53" s="91" t="inlineStr">
        <is>
          <t>Consequences for today: with the marker imaged in the RIGHT (dark) half, exposures to ~2000 us are usable. That covers Vishay (251-323 us) and Kingbright (1186 us) - which are the priority 1 parts anyway. It does NOT cover Everlight (2588-2983) or XL (5985-6057), so those cannot be measured in daylight without blocking the source.</t>
        </is>
      </c>
    </row>
    <row r="54">
      <c r="A54" s="122" t="inlineStr">
        <is>
          <t>REVERSAL OF EARLIER ADVICE: on the night data I said an 850 nm bandpass filter was unnecessary. Daylight says otherwise. A VL-cut filter passes ~700-1100 nm (~400 nm of solar IR); an 850 +/-10 nm bandpass passes ~20 nm, so roughly 20x less background while passing the LEDs nearly untouched. That would restore long exposures and with them the Test E regime B strobe scheme.</t>
        </is>
      </c>
    </row>
    <row r="55">
      <c r="A55" s="91" t="inlineStr">
        <is>
          <t>Order of remedies: block the window / blackout the room (free, and restores the night result exactly); fit an 850 nm bandpass (buys daytime operation); aim the working volume into the dark half (partial, and no use once markers move through the whole volume).</t>
        </is>
      </c>
    </row>
    <row r="56">
      <c r="A56" s="91" t="inlineStr">
        <is>
          <t>For the real rig this is a system requirement, not a nicety: markers will move through the WHOLE volume, so a dark corner of the frame is not a solution. Either the room gets blacked out for capture, or the cameras get bandpass filters.</t>
        </is>
      </c>
    </row>
    <row r="58">
      <c r="A58" s="76" t="inlineStr">
        <is>
          <t>F1c - MESH SHADES DOWN, 2026-09-04   (thin mesh, room visibly dimmed)</t>
        </is>
      </c>
    </row>
    <row r="59">
      <c r="A59" s="80" t="inlineStr">
        <is>
          <t>mesh shades</t>
        </is>
      </c>
      <c r="B59" s="80" t="n">
        <v>100</v>
      </c>
      <c r="C59" s="80" t="n">
        <v>85</v>
      </c>
      <c r="D59" s="80" t="n">
        <v>3.4</v>
      </c>
      <c r="E59" s="80" t="n">
        <v>0.5</v>
      </c>
      <c r="F59" s="80" t="n">
        <v>10</v>
      </c>
      <c r="G59" s="80" t="n">
        <v>7</v>
      </c>
      <c r="H59" s="80" t="n">
        <v>245</v>
      </c>
      <c r="I59" s="80" t="n">
        <v>5</v>
      </c>
      <c r="J59" s="80" t="inlineStr">
        <is>
          <t>ok</t>
        </is>
      </c>
    </row>
    <row r="60">
      <c r="A60" s="80" t="inlineStr">
        <is>
          <t>mesh shades</t>
        </is>
      </c>
      <c r="B60" s="80" t="n">
        <v>500</v>
      </c>
      <c r="C60" s="80" t="n">
        <v>493</v>
      </c>
      <c r="D60" s="80" t="n">
        <v>8.5</v>
      </c>
      <c r="E60" s="80" t="n">
        <v>4.2</v>
      </c>
      <c r="F60" s="80" t="n">
        <v>57</v>
      </c>
      <c r="G60" s="80" t="n">
        <v>54</v>
      </c>
      <c r="H60" s="80" t="n">
        <v>198</v>
      </c>
      <c r="I60" s="80" t="n">
        <v>21</v>
      </c>
      <c r="J60" s="80" t="inlineStr">
        <is>
          <t>marginal</t>
        </is>
      </c>
    </row>
    <row r="61">
      <c r="A61" s="80" t="inlineStr">
        <is>
          <t>mesh shades</t>
        </is>
      </c>
      <c r="B61" s="80" t="n">
        <v>1000</v>
      </c>
      <c r="C61" s="80" t="n">
        <v>986</v>
      </c>
      <c r="D61" s="80" t="n">
        <v>16.2</v>
      </c>
      <c r="E61" s="80" t="n">
        <v>8.5</v>
      </c>
      <c r="F61" s="80" t="n">
        <v>101</v>
      </c>
      <c r="G61" s="80" t="n">
        <v>98</v>
      </c>
      <c r="H61" s="80" t="n">
        <v>154</v>
      </c>
      <c r="I61" s="80" t="n">
        <v>42</v>
      </c>
      <c r="J61" s="80" t="inlineStr">
        <is>
          <t>FLOODED</t>
        </is>
      </c>
    </row>
    <row r="62">
      <c r="A62" s="80" t="inlineStr">
        <is>
          <t>mesh shades</t>
        </is>
      </c>
      <c r="B62" s="80" t="n">
        <v>2000</v>
      </c>
      <c r="C62" s="80" t="n">
        <v>1994</v>
      </c>
      <c r="D62" s="80" t="n">
        <v>34.2</v>
      </c>
      <c r="E62" s="80" t="n">
        <v>15.8</v>
      </c>
      <c r="F62" s="80" t="n">
        <v>166</v>
      </c>
      <c r="G62" s="80" t="n">
        <v>162</v>
      </c>
      <c r="H62" s="80" t="n">
        <v>89</v>
      </c>
      <c r="I62" s="80" t="n">
        <v>82</v>
      </c>
      <c r="J62" s="80" t="inlineStr">
        <is>
          <t>FLOODED</t>
        </is>
      </c>
    </row>
    <row r="63">
      <c r="A63" s="80" t="inlineStr">
        <is>
          <t>mesh shades</t>
        </is>
      </c>
      <c r="B63" s="80" t="n">
        <v>5000</v>
      </c>
      <c r="C63" s="80" t="n">
        <v>4997</v>
      </c>
      <c r="D63" s="80" t="n">
        <v>82.2</v>
      </c>
      <c r="E63" s="80" t="n">
        <v>30.7</v>
      </c>
      <c r="F63" s="80" t="n">
        <v>255</v>
      </c>
      <c r="G63" s="80" t="n">
        <v>247</v>
      </c>
      <c r="H63" s="80" t="n">
        <v>0</v>
      </c>
      <c r="I63" s="80" t="n">
        <v>174</v>
      </c>
      <c r="J63" s="80" t="inlineStr">
        <is>
          <t>FLOODED</t>
        </is>
      </c>
    </row>
    <row r="64">
      <c r="A64" s="80" t="inlineStr">
        <is>
          <t>mesh shades</t>
        </is>
      </c>
      <c r="B64" s="80" t="n">
        <v>10000</v>
      </c>
      <c r="C64" s="80" t="n">
        <v>9995</v>
      </c>
      <c r="D64" s="80" t="n">
        <v>138.2</v>
      </c>
      <c r="E64" s="80" t="n">
        <v>41.4</v>
      </c>
      <c r="F64" s="80" t="n">
        <v>255</v>
      </c>
      <c r="G64" s="80" t="n">
        <v>232</v>
      </c>
      <c r="H64" s="80" t="n">
        <v>0</v>
      </c>
      <c r="I64" s="80" t="n">
        <v>262</v>
      </c>
      <c r="J64" s="80" t="inlineStr">
        <is>
          <t>FLOODED</t>
        </is>
      </c>
    </row>
    <row r="65">
      <c r="A65" s="80" t="inlineStr">
        <is>
          <t>mesh shades</t>
        </is>
      </c>
      <c r="B65" s="80" t="n">
        <v>20000</v>
      </c>
      <c r="C65" s="80" t="n">
        <v>19991</v>
      </c>
      <c r="D65" s="80" t="n">
        <v>202.5</v>
      </c>
      <c r="E65" s="80" t="n">
        <v>46.1</v>
      </c>
      <c r="F65" s="80" t="n">
        <v>255</v>
      </c>
      <c r="G65" s="80" t="n">
        <v>207</v>
      </c>
      <c r="H65" s="80" t="n">
        <v>0</v>
      </c>
      <c r="I65" s="80" t="n">
        <v>341</v>
      </c>
      <c r="J65" s="80" t="inlineStr">
        <is>
          <t>FLOODED</t>
        </is>
      </c>
    </row>
    <row r="66">
      <c r="A66" s="80" t="inlineStr">
        <is>
          <t>mesh shades</t>
        </is>
      </c>
      <c r="B66" s="80" t="n">
        <v>30000</v>
      </c>
      <c r="C66" s="80" t="n">
        <v>29987</v>
      </c>
      <c r="D66" s="80" t="n">
        <v>233.3</v>
      </c>
      <c r="E66" s="80" t="n">
        <v>41.7</v>
      </c>
      <c r="F66" s="80" t="n">
        <v>255</v>
      </c>
      <c r="G66" s="80" t="n">
        <v>182</v>
      </c>
      <c r="H66" s="80" t="n">
        <v>0</v>
      </c>
      <c r="I66" s="80" t="n">
        <v>358</v>
      </c>
      <c r="J66" s="80" t="inlineStr">
        <is>
          <t>FLOODED</t>
        </is>
      </c>
    </row>
    <row r="68">
      <c r="A68" s="122" t="inlineStr">
        <is>
          <t>THREE CONDITIONS, frame-wide max at 493 us: direct sun 209, mesh shades 57, night 4. The shades give ~2.5-6x, NOT the 20x+ that visible dimming suggests - thin mesh is far more transparent at 850 nm than to the eye. Confirms that a visibly dark shade is not an IR shade.</t>
        </is>
      </c>
    </row>
    <row r="69">
      <c r="A69" s="91" t="inlineStr">
        <is>
          <t>Frame-wide usable ceiling with shades is ~700 us (493 us gives max 57; 80/57 x 493). Away from the bright patch it is 2800-6400 us; the patch itself (now bottom-left) tolerates only ~772 us.</t>
        </is>
      </c>
    </row>
    <row r="70">
      <c r="A70" s="91" t="inlineStr">
        <is>
          <t>What is measurable with shades: Vishay (251-323 us) anywhere. Kingbright (1096-1186 us) away from the patch. Everlight (2588-2983 us) only in the darkest cells, marginal. XL (5985-6057 us) NOT measurable in daylight at all.</t>
        </is>
      </c>
    </row>
    <row r="71">
      <c r="A71" s="122" t="inlineStr">
        <is>
          <t>THRESH_LO INVERTS WITH AMBIENT. At night, background max 4 meant 80 was ~20x too high and could drop to 20-30 for better range. With shades at 986 us the background max is 101 - ABOVE 80 - so in daylight the threshold would have to RISE, not fall, or the bright patch generates false blobs. Choose THRESH_LO for the WORST ambient you will operate in, and run the C2 sweep under that condition, not at night.</t>
        </is>
      </c>
    </row>
    <row r="72">
      <c r="A72" s="91" t="inlineStr">
        <is>
          <t>This settles the filter question. Blackout or an 850 nm bandpass is a system requirement for daytime operation, not an optimisation. Mesh shades are not a substitute.</t>
        </is>
      </c>
    </row>
    <row r="74">
      <c r="A74" s="76" t="inlineStr">
        <is>
          <t>F1d - TESTING ARENA, camera in range-test position, 2026-09-09 16:25, OVERCAST, windows on the right</t>
        </is>
      </c>
    </row>
    <row r="75" ht="30" customHeight="1">
      <c r="A75" s="77" t="inlineStr">
        <is>
          <t>Condition</t>
        </is>
      </c>
      <c r="B75" s="77" t="inlineStr">
        <is>
          <t>Exposure req (us)</t>
        </is>
      </c>
      <c r="C75" s="77" t="inlineStr">
        <is>
          <t>Exposure act (us)</t>
        </is>
      </c>
      <c r="D75" s="77" t="inlineStr">
        <is>
          <t>bg mean</t>
        </is>
      </c>
      <c r="E75" s="77" t="inlineStr">
        <is>
          <t>bg SD</t>
        </is>
      </c>
      <c r="F75" s="77" t="inlineStr">
        <is>
          <t>bg max</t>
        </is>
      </c>
      <c r="G75" s="77" t="inlineStr">
        <is>
          <t>Uniformity (max-min)</t>
        </is>
      </c>
      <c r="H75" s="77" t="inlineStr">
        <is>
          <t>Headroom (255-max)</t>
        </is>
      </c>
      <c r="I75" s="77" t="inlineStr">
        <is>
          <t>REFINE_FLOOR needed</t>
        </is>
      </c>
      <c r="J75" s="77" t="inlineStr">
        <is>
          <t>Usable?</t>
        </is>
      </c>
      <c r="K75" s="77" t="inlineStr">
        <is>
          <t>Notes</t>
        </is>
      </c>
    </row>
    <row r="76">
      <c r="A76" s="80" t="inlineStr">
        <is>
          <t>arena overcast</t>
        </is>
      </c>
      <c r="B76" s="80" t="n">
        <v>100</v>
      </c>
      <c r="C76" s="80" t="n">
        <v>85</v>
      </c>
      <c r="D76" s="80" t="n">
        <v>3.5</v>
      </c>
      <c r="E76" s="80" t="n">
        <v>0.5</v>
      </c>
      <c r="F76" s="80" t="n">
        <v>4</v>
      </c>
      <c r="G76" s="80" t="n">
        <v>2</v>
      </c>
      <c r="H76" s="80" t="n">
        <v>251</v>
      </c>
      <c r="I76" s="80" t="n">
        <v>5</v>
      </c>
      <c r="J76" s="80" t="inlineStr">
        <is>
          <t>ok</t>
        </is>
      </c>
    </row>
    <row r="77">
      <c r="A77" s="80" t="inlineStr">
        <is>
          <t>arena overcast</t>
        </is>
      </c>
      <c r="B77" s="80" t="n">
        <v>500</v>
      </c>
      <c r="C77" s="80" t="n">
        <v>493</v>
      </c>
      <c r="D77" s="80" t="n">
        <v>3.4</v>
      </c>
      <c r="E77" s="80" t="n">
        <v>0.5</v>
      </c>
      <c r="F77" s="80" t="n">
        <v>4</v>
      </c>
      <c r="G77" s="80" t="n">
        <v>1</v>
      </c>
      <c r="H77" s="80" t="n">
        <v>251</v>
      </c>
      <c r="I77" s="80" t="n">
        <v>5</v>
      </c>
      <c r="J77" s="80" t="inlineStr">
        <is>
          <t>ok</t>
        </is>
      </c>
    </row>
    <row r="78">
      <c r="A78" s="80" t="inlineStr">
        <is>
          <t>arena overcast</t>
        </is>
      </c>
      <c r="B78" s="80" t="n">
        <v>1000</v>
      </c>
      <c r="C78" s="80" t="n">
        <v>986</v>
      </c>
      <c r="D78" s="80" t="n">
        <v>3.4</v>
      </c>
      <c r="E78" s="80" t="n">
        <v>0.5</v>
      </c>
      <c r="F78" s="80" t="n">
        <v>5</v>
      </c>
      <c r="G78" s="80" t="n">
        <v>3</v>
      </c>
      <c r="H78" s="80" t="n">
        <v>250</v>
      </c>
      <c r="I78" s="80" t="n">
        <v>5</v>
      </c>
      <c r="J78" s="80" t="inlineStr">
        <is>
          <t>ok</t>
        </is>
      </c>
    </row>
    <row r="79">
      <c r="A79" s="80" t="inlineStr">
        <is>
          <t>arena overcast</t>
        </is>
      </c>
      <c r="B79" s="80" t="n">
        <v>2000</v>
      </c>
      <c r="C79" s="80" t="n">
        <v>1994</v>
      </c>
      <c r="D79" s="80" t="n">
        <v>3.4</v>
      </c>
      <c r="E79" s="80" t="n">
        <v>0.6</v>
      </c>
      <c r="F79" s="80" t="n">
        <v>10</v>
      </c>
      <c r="G79" s="80" t="n">
        <v>8</v>
      </c>
      <c r="H79" s="80" t="n">
        <v>245</v>
      </c>
      <c r="I79" s="80" t="n">
        <v>5</v>
      </c>
      <c r="J79" s="80" t="inlineStr">
        <is>
          <t>ok</t>
        </is>
      </c>
    </row>
    <row r="80">
      <c r="A80" s="80" t="inlineStr">
        <is>
          <t>arena overcast</t>
        </is>
      </c>
      <c r="B80" s="80" t="n">
        <v>5000</v>
      </c>
      <c r="C80" s="80" t="n">
        <v>4997</v>
      </c>
      <c r="D80" s="80" t="n">
        <v>3.7</v>
      </c>
      <c r="E80" s="80" t="n">
        <v>1.6</v>
      </c>
      <c r="F80" s="80" t="n">
        <v>26</v>
      </c>
      <c r="G80" s="80" t="n">
        <v>24</v>
      </c>
      <c r="H80" s="80" t="n">
        <v>229</v>
      </c>
      <c r="I80" s="80" t="n">
        <v>8</v>
      </c>
      <c r="J80" s="80" t="inlineStr">
        <is>
          <t>ok</t>
        </is>
      </c>
    </row>
    <row r="81">
      <c r="A81" s="80" t="inlineStr">
        <is>
          <t>arena overcast</t>
        </is>
      </c>
      <c r="B81" s="80" t="n">
        <v>10000</v>
      </c>
      <c r="C81" s="80" t="n">
        <v>9995</v>
      </c>
      <c r="D81" s="80" t="n">
        <v>4.6</v>
      </c>
      <c r="E81" s="80" t="n">
        <v>3.7</v>
      </c>
      <c r="F81" s="80" t="n">
        <v>51</v>
      </c>
      <c r="G81" s="80" t="n">
        <v>49</v>
      </c>
      <c r="H81" s="80" t="n">
        <v>204</v>
      </c>
      <c r="I81" s="80" t="n">
        <v>16</v>
      </c>
      <c r="J81" s="80" t="inlineStr">
        <is>
          <t>marginal</t>
        </is>
      </c>
    </row>
    <row r="82">
      <c r="A82" s="80" t="inlineStr">
        <is>
          <t>arena overcast</t>
        </is>
      </c>
      <c r="B82" s="80" t="n">
        <v>20000</v>
      </c>
      <c r="C82" s="80" t="n">
        <v>19991</v>
      </c>
      <c r="D82" s="80" t="n">
        <v>7.1</v>
      </c>
      <c r="E82" s="80" t="n">
        <v>8</v>
      </c>
      <c r="F82" s="80" t="n">
        <v>98</v>
      </c>
      <c r="G82" s="80" t="n">
        <v>96</v>
      </c>
      <c r="H82" s="80" t="n">
        <v>157</v>
      </c>
      <c r="I82" s="80" t="n">
        <v>31</v>
      </c>
      <c r="J82" s="80" t="inlineStr">
        <is>
          <t>FLOODED</t>
        </is>
      </c>
    </row>
    <row r="83">
      <c r="A83" s="80" t="inlineStr">
        <is>
          <t>arena overcast</t>
        </is>
      </c>
      <c r="B83" s="80" t="n">
        <v>30000</v>
      </c>
      <c r="C83" s="80" t="n">
        <v>29987</v>
      </c>
      <c r="D83" s="80" t="n">
        <v>9.800000000000001</v>
      </c>
      <c r="E83" s="80" t="n">
        <v>12.1</v>
      </c>
      <c r="F83" s="80" t="n">
        <v>133</v>
      </c>
      <c r="G83" s="80" t="n">
        <v>131</v>
      </c>
      <c r="H83" s="80" t="n">
        <v>122</v>
      </c>
      <c r="I83" s="80" t="n">
        <v>46</v>
      </c>
      <c r="J83" s="80" t="inlineStr">
        <is>
          <t>FLOODED</t>
        </is>
      </c>
    </row>
    <row r="85">
      <c r="A85" s="122" t="inlineStr">
        <is>
          <t>ARENA IS ESSENTIALLY DARK. 44 of 48 cells in an 8x6 map sit at the sensor pedestal (4 counts) at 2 ms. A small cluster right-of-centre reaches 11 - that is the WINDOWS on the right-hand side. Frame mean moves only 3.4 -&gt; 9.8 across a 350x exposure range while the max goes 4 -&gt; 133, so the light is entirely localised.</t>
        </is>
      </c>
    </row>
    <row r="86">
      <c r="A86" s="91" t="inlineStr">
        <is>
          <t>Usable ceiling TODAY: ~14.5 ms anywhere in frame; ~40 ms if the marker avoids the right-hand window cells. That covers every exposure in the study - the longest were XL at 90 deg (16 ms) and Kingbright at 90 deg (18.8 ms), both borderline; everything else has large headroom. NO BLACKOUT NEEDED.</t>
        </is>
      </c>
    </row>
    <row r="87">
      <c r="A87" s="122" t="inlineStr">
        <is>
          <t>CONDITIONS: 16:25, OVERCAST, windows right. This is a MILD case, not the worst. Direct sun through those windows will be far brighter - at the desk the night-to-sun difference was 14x at short exposure and total flooding at long. Re-run this ladder before any session in different weather or at a different time of day.</t>
        </is>
      </c>
    </row>
    <row r="88">
      <c r="A88" s="91" t="inlineStr">
        <is>
          <t>Camera was already in its range-test position, so these numbers apply to Test C as measured. They do NOT transfer if the camera is re-aimed.</t>
        </is>
      </c>
    </row>
  </sheetData>
  <pageMargins left="0.75" right="0.75" top="1" bottom="1" header="0.5" footer="0.5"/>
</worksheet>
</file>

<file path=xl/worksheets/sheet10.xml><?xml version="1.0" encoding="utf-8"?>
<worksheet xmlns="http://schemas.openxmlformats.org/spreadsheetml/2006/main">
  <sheetPr>
    <tabColor rgb="FF1F3864"/>
    <outlinePr summaryBelow="1" summaryRight="1"/>
    <pageSetUpPr/>
  </sheetPr>
  <dimension ref="A1:U39"/>
  <sheetViews>
    <sheetView showGridLines="0" workbookViewId="0">
      <pane ySplit="7" topLeftCell="A8" activePane="bottomLeft" state="frozen"/>
      <selection pane="bottomLeft" activeCell="A1" sqref="A1"/>
    </sheetView>
  </sheetViews>
  <sheetFormatPr baseColWidth="8" defaultRowHeight="15"/>
  <cols>
    <col width="6" customWidth="1" min="1" max="1"/>
    <col width="12" customWidth="1" min="2" max="2"/>
    <col width="10" customWidth="1" min="3" max="3"/>
    <col width="8" customWidth="1" min="4" max="4"/>
    <col width="9" customWidth="1" min="5" max="5"/>
    <col width="10" customWidth="1" min="6" max="6"/>
    <col width="11" customWidth="1" min="7" max="7"/>
    <col width="8" customWidth="1" min="8" max="8"/>
    <col width="8" customWidth="1" min="9" max="9"/>
    <col width="12" customWidth="1" min="10" max="10"/>
    <col width="8" customWidth="1" min="11" max="11"/>
    <col width="8" customWidth="1" min="12" max="12"/>
    <col width="12" customWidth="1" min="13" max="13"/>
    <col width="8" customWidth="1" min="14" max="14"/>
    <col width="11" customWidth="1" min="15" max="15"/>
    <col width="11" customWidth="1" min="16" max="16"/>
    <col width="12" customWidth="1" min="17" max="17"/>
    <col width="11" customWidth="1" min="18" max="18"/>
    <col width="11" customWidth="1" min="19" max="19"/>
    <col width="34" customWidth="1" min="20" max="20"/>
    <col width="12" customWidth="1" min="21" max="21"/>
  </cols>
  <sheetData>
    <row r="1">
      <c r="A1" s="65" t="inlineStr">
        <is>
          <t>TEST G - Diffuser geometry: diameter x wall thickness</t>
        </is>
      </c>
    </row>
    <row r="2">
      <c r="A2" s="66" t="inlineStr">
        <is>
          <t>Blue on yellow = fill in.  Grey = pulled live from A_Bench (the 0.2 mm rows - do NOT re-measure them here). At these wall thicknesses the cavity barely changes, so wall thickness and LED standoff are effectively decoupled: this is a clean scattering experiment.</t>
        </is>
      </c>
    </row>
    <row r="3">
      <c r="A3" s="66" t="inlineStr">
        <is>
          <t>Diffusers are WHITE (pigmented) resin - scattering is volumetric, so wall thickness sets optical depth. Caps are reused across all four LEDs, so LED-to-LED rows share the same physical cap; only the WALL ladder compares different objects. Every take re-seats the cap, which costs ~16% on sigma (measured). Reprint plan: 20 and 25 mm at 0.2 and 0.4 mm ONLY, 4.5 s cure (was 3.5), post-cured together, 2-3 replicate caps per condition - record the cap ID in Notes.</t>
        </is>
      </c>
    </row>
    <row r="4">
      <c r="A4" s="96" t="inlineStr">
        <is>
          <t>LED ring radius (mm)</t>
        </is>
      </c>
      <c r="B4" s="72" t="n">
        <v>3.5</v>
      </c>
      <c r="C4" s="97" t="inlineStr">
        <is>
          <t>centre of the board to each LED. Measured 2026-09-03</t>
        </is>
      </c>
    </row>
    <row r="5">
      <c r="A5" s="96" t="inlineStr">
        <is>
          <t>Wall grows</t>
        </is>
      </c>
      <c r="B5" s="78" t="inlineStr">
        <is>
          <t>inward</t>
        </is>
      </c>
      <c r="C5" s="97" t="inlineStr">
        <is>
          <t>'inward' = outer diameter fixed, cavity shrinks.  'outward' = cavity fixed, marker grows</t>
        </is>
      </c>
    </row>
    <row r="7" ht="34" customHeight="1">
      <c r="A7" s="77" t="inlineStr">
        <is>
          <t>Pri</t>
        </is>
      </c>
      <c r="B7" s="77" t="inlineStr">
        <is>
          <t>LED Type</t>
        </is>
      </c>
      <c r="C7" s="77" t="inlineStr">
        <is>
          <t>Diameter
(mm)</t>
        </is>
      </c>
      <c r="D7" s="77" t="inlineStr">
        <is>
          <t>Wall
(mm)</t>
        </is>
      </c>
      <c r="E7" s="77" t="inlineStr">
        <is>
          <t>Cavity
(mm)</t>
        </is>
      </c>
      <c r="F7" s="77" t="inlineStr">
        <is>
          <t>Standoff
(mm)</t>
        </is>
      </c>
      <c r="G7" s="77" t="inlineStr">
        <is>
          <t>Exposure
(us)</t>
        </is>
      </c>
      <c r="H7" s="77" t="inlineStr">
        <is>
          <t>Peak</t>
        </is>
      </c>
      <c r="I7" s="77" t="inlineStr">
        <is>
          <t>Sat px</t>
        </is>
      </c>
      <c r="J7" s="77" t="inlineStr">
        <is>
          <t>Sensor area
(px)</t>
        </is>
      </c>
      <c r="K7" s="77" t="inlineStr">
        <is>
          <t>blobs</t>
        </is>
      </c>
      <c r="L7" s="77" t="inlineStr">
        <is>
          <t>w/h</t>
        </is>
      </c>
      <c r="M7" s="77" t="inlineStr">
        <is>
          <t>Fill
(centre/rim)</t>
        </is>
      </c>
      <c r="N7" s="77" t="inlineStr">
        <is>
          <t>Blend
gate</t>
        </is>
      </c>
      <c r="O7" s="77" t="inlineStr">
        <is>
          <t>sigma_u
(px)</t>
        </is>
      </c>
      <c r="P7" s="77" t="inlineStr">
        <is>
          <t>sigma_v
(px)</t>
        </is>
      </c>
      <c r="Q7" s="77" t="inlineStr">
        <is>
          <t>sigma_RMS
(px)</t>
        </is>
      </c>
      <c r="R7" s="77" t="inlineStr">
        <is>
          <t>Exposure
vs 2 mm</t>
        </is>
      </c>
      <c r="S7" s="77" t="inlineStr">
        <is>
          <t>Fill
vs 2 mm</t>
        </is>
      </c>
      <c r="T7" s="77" t="inlineStr">
        <is>
          <t>Notes</t>
        </is>
      </c>
      <c r="U7" s="77" t="inlineStr">
        <is>
          <t>Lobe
(0=circular)</t>
        </is>
      </c>
    </row>
    <row r="8">
      <c r="A8" s="98" t="inlineStr">
        <is>
          <t>done</t>
        </is>
      </c>
      <c r="B8" s="128" t="inlineStr">
        <is>
          <t>Vishay</t>
        </is>
      </c>
      <c r="C8" s="100" t="n">
        <v>20</v>
      </c>
      <c r="D8" s="101" t="n">
        <v>0.2</v>
      </c>
      <c r="E8" s="101">
        <f>IF($B$5="inward",C8-2*D8,C8)</f>
        <v/>
      </c>
      <c r="F8" s="101">
        <f>IF(OR(E8="",$B$4=""),"",E8/2-$B$4)</f>
        <v/>
      </c>
      <c r="G8" s="102">
        <f>IFERROR(A_Bench!F9,"")</f>
        <v/>
      </c>
      <c r="H8" s="102">
        <f>IFERROR(A_Bench!G9,"")</f>
        <v/>
      </c>
      <c r="I8" s="103">
        <f>IFERROR(A_Bench!H9,"")</f>
        <v/>
      </c>
      <c r="J8" s="102">
        <f>IFERROR(A_Bench!K9,"")</f>
        <v/>
      </c>
      <c r="K8" s="102">
        <f>IFERROR(A_Bench!M9,"")</f>
        <v/>
      </c>
      <c r="L8" s="104">
        <f>IFERROR(A_Bench!N9,"")</f>
        <v/>
      </c>
      <c r="M8" s="104">
        <f>IFERROR(A_Bench!U9,"")</f>
        <v/>
      </c>
      <c r="N8" s="105">
        <f>IF(OR(K8="",L8="",M8=""),"",IF(AND(K8=1,L8&gt;=0.9,L8&lt;=1.1,M8&gt;=0.70),"pass","FAIL"))</f>
        <v/>
      </c>
      <c r="O8" s="106">
        <f>IFERROR(A_Bench!P9,"")</f>
        <v/>
      </c>
      <c r="P8" s="106">
        <f>IFERROR(A_Bench!Q9,"")</f>
        <v/>
      </c>
      <c r="Q8" s="107">
        <f>IF(OR(O8="",P8=""),"",SQRT(0.5*(O8^2+P8^2)))</f>
        <v/>
      </c>
      <c r="R8" s="108">
        <f>IF(OR(G8="",$G$8="",$G$8=0),"",G8/$G$8)</f>
        <v/>
      </c>
      <c r="S8" s="109">
        <f>IF(OR(M8="",$M$8=""),"",M8-$M$8)</f>
        <v/>
      </c>
      <c r="T8" s="110" t="n"/>
      <c r="U8" s="125" t="n"/>
    </row>
    <row r="9">
      <c r="A9" s="80" t="n">
        <v>1</v>
      </c>
      <c r="B9" s="133" t="inlineStr">
        <is>
          <t>Vishay</t>
        </is>
      </c>
      <c r="C9" s="85" t="n">
        <v>20</v>
      </c>
      <c r="D9" s="86" t="n">
        <v>0.4</v>
      </c>
      <c r="E9" s="86">
        <f>IF($B$5="inward",C9-2*D9,C9)</f>
        <v/>
      </c>
      <c r="F9" s="86">
        <f>IF(OR(E9="",$B$4=""),"",E9/2-$B$4)</f>
        <v/>
      </c>
      <c r="G9" s="74" t="n">
        <v>413</v>
      </c>
      <c r="H9" s="74" t="n">
        <v>212.3</v>
      </c>
      <c r="I9" s="72" t="n">
        <v>0</v>
      </c>
      <c r="J9" s="74" t="n">
        <v>606</v>
      </c>
      <c r="K9" s="74" t="n">
        <v>1</v>
      </c>
      <c r="L9" s="79" t="n">
        <v>0.99</v>
      </c>
      <c r="M9" s="79" t="n">
        <v>0.63</v>
      </c>
      <c r="N9" s="80">
        <f>IF(OR(K9="",L9="",M9=""),"",IF(AND(K9=1,L9&gt;=0.9,L9&lt;=1.1,M9&gt;=0.70),"pass","FAIL"))</f>
        <v/>
      </c>
      <c r="O9" s="83" t="n">
        <v>0.0283</v>
      </c>
      <c r="P9" s="83" t="n">
        <v>0.0357</v>
      </c>
      <c r="Q9" s="84">
        <f>IF(OR(O9="",P9=""),"",SQRT(0.5*(O9^2+P9^2)))</f>
        <v/>
      </c>
      <c r="R9" s="75">
        <f>IF(OR(G9="",$G$8="",$G$8=0),"",G9/$G$8)</f>
        <v/>
      </c>
      <c r="S9" s="111">
        <f>IF(OR(M9="",$M$8=""),"",M9-$M$8)</f>
        <v/>
      </c>
      <c r="T9" s="81" t="inlineStr">
        <is>
          <t>cap 1. BIGGEST thickness gain of any LED: fill +0.10 (0.53-&gt;0.63) and lobe 0.120-&gt;0.076, so the extra wall largely merged the four lobes. Thickness helps in inverse proportion to beam angle: Vishay +0.10, Kingbright +0.06, Everlight +0.03, XL +0.03.  flux 312</t>
        </is>
      </c>
      <c r="U9" s="126" t="n">
        <v>0.076</v>
      </c>
    </row>
    <row r="10">
      <c r="A10" s="80" t="inlineStr">
        <is>
          <t>drop</t>
        </is>
      </c>
      <c r="B10" s="133" t="inlineStr">
        <is>
          <t>Vishay</t>
        </is>
      </c>
      <c r="C10" s="85" t="n">
        <v>20</v>
      </c>
      <c r="D10" s="86" t="n">
        <v>0.5</v>
      </c>
      <c r="E10" s="86">
        <f>IF($B$5="inward",C10-2*D10,C10)</f>
        <v/>
      </c>
      <c r="F10" s="86">
        <f>IF(OR(E10="",$B$4=""),"",E10/2-$B$4)</f>
        <v/>
      </c>
      <c r="G10" s="74" t="n"/>
      <c r="H10" s="74" t="n"/>
      <c r="I10" s="72" t="n"/>
      <c r="J10" s="74" t="n"/>
      <c r="K10" s="74" t="n"/>
      <c r="L10" s="79" t="n"/>
      <c r="M10" s="79" t="n"/>
      <c r="N10" s="80">
        <f>IF(OR(K10="",L10="",M10=""),"",IF(AND(K10=1,L10&gt;=0.9,L10&lt;=1.1,M10&gt;=0.70),"pass","FAIL"))</f>
        <v/>
      </c>
      <c r="O10" s="83" t="n"/>
      <c r="P10" s="83" t="n"/>
      <c r="Q10" s="84">
        <f>IF(OR(O10="",P10=""),"",SQRT(0.5*(O10^2+P10^2)))</f>
        <v/>
      </c>
      <c r="R10" s="75">
        <f>IF(OR(G10="",$G$8="",$G$8=0),"",G10/$G$8)</f>
        <v/>
      </c>
      <c r="S10" s="111">
        <f>IF(OR(M10="",$M$8=""),"",M10-$M$8)</f>
        <v/>
      </c>
      <c r="T10" s="123" t="inlineStr">
        <is>
          <t>DROPPED 2026-09-04. 0.5 mm measured worse than 0.4 mm at identical transmitted flux, i.e. cap variation not thickness. Ladder reduced to 0.2 / 0.4 mm with REPLICATE caps instead.</t>
        </is>
      </c>
      <c r="U10" s="126" t="n"/>
    </row>
    <row r="11">
      <c r="A11" s="112" t="inlineStr">
        <is>
          <t>done</t>
        </is>
      </c>
      <c r="B11" s="133" t="inlineStr">
        <is>
          <t>Vishay</t>
        </is>
      </c>
      <c r="C11" s="85" t="n">
        <v>25</v>
      </c>
      <c r="D11" s="86" t="n">
        <v>0.2</v>
      </c>
      <c r="E11" s="86">
        <f>IF($B$5="inward",C11-2*D11,C11)</f>
        <v/>
      </c>
      <c r="F11" s="86">
        <f>IF(OR(E11="",$B$4=""),"",E11/2-$B$4)</f>
        <v/>
      </c>
      <c r="G11" s="113">
        <f>IFERROR(A_Bench!F13,"")</f>
        <v/>
      </c>
      <c r="H11" s="113">
        <f>IFERROR(A_Bench!G13,"")</f>
        <v/>
      </c>
      <c r="I11" s="114">
        <f>IFERROR(A_Bench!H13,"")</f>
        <v/>
      </c>
      <c r="J11" s="113">
        <f>IFERROR(A_Bench!K13,"")</f>
        <v/>
      </c>
      <c r="K11" s="113">
        <f>IFERROR(A_Bench!M13,"")</f>
        <v/>
      </c>
      <c r="L11" s="115">
        <f>IFERROR(A_Bench!N13,"")</f>
        <v/>
      </c>
      <c r="M11" s="115">
        <f>IFERROR(A_Bench!U13,"")</f>
        <v/>
      </c>
      <c r="N11" s="80">
        <f>IF(OR(K11="",L11="",M11=""),"",IF(AND(K11=1,L11&gt;=0.9,L11&lt;=1.1,M11&gt;=0.70),"pass","FAIL"))</f>
        <v/>
      </c>
      <c r="O11" s="116">
        <f>IFERROR(A_Bench!P13,"")</f>
        <v/>
      </c>
      <c r="P11" s="116">
        <f>IFERROR(A_Bench!Q13,"")</f>
        <v/>
      </c>
      <c r="Q11" s="84">
        <f>IF(OR(O11="",P11=""),"",SQRT(0.5*(O11^2+P11^2)))</f>
        <v/>
      </c>
      <c r="R11" s="75">
        <f>IF(OR(G11="",$G$11="",$G$11=0),"",G11/$G$11)</f>
        <v/>
      </c>
      <c r="S11" s="111">
        <f>IF(OR(M11="",$M$11=""),"",M11-$M$11)</f>
        <v/>
      </c>
      <c r="T11" s="81" t="n"/>
      <c r="U11" s="127" t="n"/>
    </row>
    <row r="12">
      <c r="A12" s="80" t="n">
        <v>1</v>
      </c>
      <c r="B12" s="133" t="inlineStr">
        <is>
          <t>Vishay</t>
        </is>
      </c>
      <c r="C12" s="85" t="n">
        <v>25</v>
      </c>
      <c r="D12" s="86" t="n">
        <v>0.4</v>
      </c>
      <c r="E12" s="86">
        <f>IF($B$5="inward",C12-2*D12,C12)</f>
        <v/>
      </c>
      <c r="F12" s="86">
        <f>IF(OR(E12="",$B$4=""),"",E12/2-$B$4)</f>
        <v/>
      </c>
      <c r="G12" s="74" t="n">
        <v>602</v>
      </c>
      <c r="H12" s="74" t="n">
        <v>209.9</v>
      </c>
      <c r="I12" s="72" t="n">
        <v>0</v>
      </c>
      <c r="J12" s="74" t="n">
        <v>751</v>
      </c>
      <c r="K12" s="74" t="n">
        <v>1</v>
      </c>
      <c r="L12" s="79" t="n">
        <v>1.02</v>
      </c>
      <c r="M12" s="79" t="n">
        <v>0.74</v>
      </c>
      <c r="N12" s="80">
        <f>IF(OR(K12="",L12="",M12=""),"",IF(AND(K12=1,L12&gt;=0.9,L12&lt;=1.1,M12&gt;=0.70),"pass","FAIL"))</f>
        <v/>
      </c>
      <c r="O12" s="83" t="n">
        <v>0.0198</v>
      </c>
      <c r="P12" s="83" t="n">
        <v>0.0273</v>
      </c>
      <c r="Q12" s="84">
        <f>IF(OR(O12="",P12=""),"",SQRT(0.5*(O12^2+P12^2)))</f>
        <v/>
      </c>
      <c r="R12" s="75">
        <f>IF(OR(G12="",$G$11="",$G$11=0),"",G12/$G$11)</f>
        <v/>
      </c>
      <c r="S12" s="111">
        <f>IF(OR(M12="",$M$11=""),"",M12-$M$11)</f>
        <v/>
      </c>
      <c r="T12" s="81" t="inlineStr">
        <is>
          <t>MEAN OF 4 REPLICATE CAPS (575/485/575/772 us). Cap-to-cap: exposure CV 20%, area 2.7%, fill 2.5%, lobe 4%, sigma 11%. So fill = 0.74 +/- 0.02 and sigma = 0.0240 +/- 0.0027; fill differences under ~0.05 and sigma differences under ~25% are not significant.  flux 262</t>
        </is>
      </c>
      <c r="U12" s="126" t="n">
        <v>0.062</v>
      </c>
    </row>
    <row r="13">
      <c r="A13" s="80" t="inlineStr">
        <is>
          <t>drop</t>
        </is>
      </c>
      <c r="B13" s="133" t="inlineStr">
        <is>
          <t>Vishay</t>
        </is>
      </c>
      <c r="C13" s="85" t="n">
        <v>25</v>
      </c>
      <c r="D13" s="86" t="n">
        <v>0.5</v>
      </c>
      <c r="E13" s="86">
        <f>IF($B$5="inward",C13-2*D13,C13)</f>
        <v/>
      </c>
      <c r="F13" s="86">
        <f>IF(OR(E13="",$B$4=""),"",E13/2-$B$4)</f>
        <v/>
      </c>
      <c r="G13" s="74" t="n"/>
      <c r="H13" s="74" t="n"/>
      <c r="I13" s="72" t="n"/>
      <c r="J13" s="74" t="n"/>
      <c r="K13" s="74" t="n"/>
      <c r="L13" s="79" t="n"/>
      <c r="M13" s="79" t="n"/>
      <c r="N13" s="80">
        <f>IF(OR(K13="",L13="",M13=""),"",IF(AND(K13=1,L13&gt;=0.9,L13&lt;=1.1,M13&gt;=0.70),"pass","FAIL"))</f>
        <v/>
      </c>
      <c r="O13" s="83" t="n"/>
      <c r="P13" s="83" t="n"/>
      <c r="Q13" s="84">
        <f>IF(OR(O13="",P13=""),"",SQRT(0.5*(O13^2+P13^2)))</f>
        <v/>
      </c>
      <c r="R13" s="75">
        <f>IF(OR(G13="",$G$11="",$G$11=0),"",G13/$G$11)</f>
        <v/>
      </c>
      <c r="S13" s="111">
        <f>IF(OR(M13="",$M$11=""),"",M13-$M$11)</f>
        <v/>
      </c>
      <c r="T13" s="123" t="inlineStr">
        <is>
          <t>DROPPED 2026-09-04. 0.5 mm measured worse than 0.4 mm at identical transmitted flux, i.e. cap variation not thickness. Ladder reduced to 0.2 / 0.4 mm with REPLICATE caps instead.</t>
        </is>
      </c>
      <c r="U13" s="126" t="n"/>
    </row>
    <row r="14">
      <c r="A14" s="98" t="inlineStr">
        <is>
          <t>done</t>
        </is>
      </c>
      <c r="B14" s="128" t="inlineStr">
        <is>
          <t>Kingbright</t>
        </is>
      </c>
      <c r="C14" s="100" t="n">
        <v>20</v>
      </c>
      <c r="D14" s="101" t="n">
        <v>0.2</v>
      </c>
      <c r="E14" s="101">
        <f>IF($B$5="inward",C14-2*D14,C14)</f>
        <v/>
      </c>
      <c r="F14" s="101">
        <f>IF(OR(E14="",$B$4=""),"",E14/2-$B$4)</f>
        <v/>
      </c>
      <c r="G14" s="102">
        <f>IFERROR(A_Bench!F12,"")</f>
        <v/>
      </c>
      <c r="H14" s="102">
        <f>IFERROR(A_Bench!G12,"")</f>
        <v/>
      </c>
      <c r="I14" s="103">
        <f>IFERROR(A_Bench!H12,"")</f>
        <v/>
      </c>
      <c r="J14" s="102">
        <f>IFERROR(A_Bench!K12,"")</f>
        <v/>
      </c>
      <c r="K14" s="102">
        <f>IFERROR(A_Bench!M12,"")</f>
        <v/>
      </c>
      <c r="L14" s="104">
        <f>IFERROR(A_Bench!N12,"")</f>
        <v/>
      </c>
      <c r="M14" s="104">
        <f>IFERROR(A_Bench!U12,"")</f>
        <v/>
      </c>
      <c r="N14" s="105">
        <f>IF(OR(K14="",L14="",M14=""),"",IF(AND(K14=1,L14&gt;=0.9,L14&lt;=1.1,M14&gt;=0.70),"pass","FAIL"))</f>
        <v/>
      </c>
      <c r="O14" s="106">
        <f>IFERROR(A_Bench!P12,"")</f>
        <v/>
      </c>
      <c r="P14" s="106">
        <f>IFERROR(A_Bench!Q12,"")</f>
        <v/>
      </c>
      <c r="Q14" s="107">
        <f>IF(OR(O14="",P14=""),"",SQRT(0.5*(O14^2+P14^2)))</f>
        <v/>
      </c>
      <c r="R14" s="108">
        <f>IF(OR(G14="",$G$14="",$G$14=0),"",G14/$G$14)</f>
        <v/>
      </c>
      <c r="S14" s="109">
        <f>IF(OR(M14="",$M$14=""),"",M14-$M$14)</f>
        <v/>
      </c>
      <c r="T14" s="110" t="n"/>
      <c r="U14" s="125" t="n"/>
    </row>
    <row r="15">
      <c r="A15" s="80" t="n">
        <v>1</v>
      </c>
      <c r="B15" s="133" t="inlineStr">
        <is>
          <t>Kingbright</t>
        </is>
      </c>
      <c r="C15" s="85" t="n">
        <v>20</v>
      </c>
      <c r="D15" s="86" t="n">
        <v>0.4</v>
      </c>
      <c r="E15" s="86">
        <f>IF($B$5="inward",C15-2*D15,C15)</f>
        <v/>
      </c>
      <c r="F15" s="86">
        <f>IF(OR(E15="",$B$4=""),"",E15/2-$B$4)</f>
        <v/>
      </c>
      <c r="G15" s="74" t="n">
        <v>1060</v>
      </c>
      <c r="H15" s="74" t="n">
        <v>216.6</v>
      </c>
      <c r="I15" s="72" t="n">
        <v>0</v>
      </c>
      <c r="J15" s="74" t="n">
        <v>694</v>
      </c>
      <c r="K15" s="74" t="n">
        <v>1</v>
      </c>
      <c r="L15" s="79" t="n">
        <v>1.03</v>
      </c>
      <c r="M15" s="79" t="n">
        <v>0.66</v>
      </c>
      <c r="N15" s="80">
        <f>IF(OR(K15="",L15="",M15=""),"",IF(AND(K15=1,L15&gt;=0.9,L15&lt;=1.1,M15&gt;=0.70),"pass","FAIL"))</f>
        <v/>
      </c>
      <c r="O15" s="83" t="n">
        <v>0.0243</v>
      </c>
      <c r="P15" s="83" t="n">
        <v>0.027</v>
      </c>
      <c r="Q15" s="84">
        <f>IF(OR(O15="",P15=""),"",SQRT(0.5*(O15^2+P15^2)))</f>
        <v/>
      </c>
      <c r="R15" s="75">
        <f>IF(OR(G15="",$G$14="",$G$14=0),"",G15/$G$14)</f>
        <v/>
      </c>
      <c r="S15" s="111">
        <f>IF(OR(M15="",$M$14=""),"",M15-$M$14)</f>
        <v/>
      </c>
      <c r="T15" s="81" t="inlineStr">
        <is>
          <t>cap 1, re-seat #2 (first: 1168us area730 fill0.66 sigma0.0243). Repeats to 5% area, 0.00 fill, 6% sigma.  flux 142</t>
        </is>
      </c>
      <c r="U15" s="126" t="n">
        <v>0.075</v>
      </c>
    </row>
    <row r="16">
      <c r="A16" s="80" t="inlineStr">
        <is>
          <t>drop</t>
        </is>
      </c>
      <c r="B16" s="133" t="inlineStr">
        <is>
          <t>Kingbright</t>
        </is>
      </c>
      <c r="C16" s="85" t="n">
        <v>20</v>
      </c>
      <c r="D16" s="86" t="n">
        <v>0.5</v>
      </c>
      <c r="E16" s="86">
        <f>IF($B$5="inward",C16-2*D16,C16)</f>
        <v/>
      </c>
      <c r="F16" s="86">
        <f>IF(OR(E16="",$B$4=""),"",E16/2-$B$4)</f>
        <v/>
      </c>
      <c r="G16" s="74" t="n">
        <v>1042</v>
      </c>
      <c r="H16" s="74" t="n">
        <v>201.8</v>
      </c>
      <c r="I16" s="72" t="n">
        <v>0</v>
      </c>
      <c r="J16" s="74" t="n">
        <v>608</v>
      </c>
      <c r="K16" s="74" t="n">
        <v>1</v>
      </c>
      <c r="L16" s="79" t="n">
        <v>0.96</v>
      </c>
      <c r="M16" s="79" t="n">
        <v>0.66</v>
      </c>
      <c r="N16" s="80">
        <f>IF(OR(K16="",L16="",M16=""),"",IF(AND(K16=1,L16&gt;=0.9,L16&lt;=1.1,M16&gt;=0.70),"pass","FAIL"))</f>
        <v/>
      </c>
      <c r="O16" s="83" t="n">
        <v>0.026</v>
      </c>
      <c r="P16" s="83" t="n">
        <v>0.0334</v>
      </c>
      <c r="Q16" s="84">
        <f>IF(OR(O16="",P16=""),"",SQRT(0.5*(O16^2+P16^2)))</f>
        <v/>
      </c>
      <c r="R16" s="75">
        <f>IF(OR(G16="",$G$14="",$G$14=0),"",G16/$G$14)</f>
        <v/>
      </c>
      <c r="S16" s="111">
        <f>IF(OR(M16="",$M$14=""),"",M16-$M$14)</f>
        <v/>
      </c>
      <c r="T16" s="123" t="inlineStr">
        <is>
          <t>DROPPED 2026-09-04. 0.5 mm measured worse than 0.4 mm at identical transmitted flux, i.e. cap variation not thickness. Ladder reduced to 0.2 / 0.4 mm with REPLICATE caps instead.</t>
        </is>
      </c>
      <c r="U16" s="126" t="n"/>
    </row>
    <row r="17">
      <c r="A17" s="112" t="inlineStr">
        <is>
          <t>done</t>
        </is>
      </c>
      <c r="B17" s="133" t="inlineStr">
        <is>
          <t>Kingbright</t>
        </is>
      </c>
      <c r="C17" s="85" t="n">
        <v>25</v>
      </c>
      <c r="D17" s="86" t="n">
        <v>0.2</v>
      </c>
      <c r="E17" s="86">
        <f>IF($B$5="inward",C17-2*D17,C17)</f>
        <v/>
      </c>
      <c r="F17" s="86">
        <f>IF(OR(E17="",$B$4=""),"",E17/2-$B$4)</f>
        <v/>
      </c>
      <c r="G17" s="113">
        <f>IFERROR(A_Bench!F16,"")</f>
        <v/>
      </c>
      <c r="H17" s="113">
        <f>IFERROR(A_Bench!G16,"")</f>
        <v/>
      </c>
      <c r="I17" s="114">
        <f>IFERROR(A_Bench!H16,"")</f>
        <v/>
      </c>
      <c r="J17" s="113">
        <f>IFERROR(A_Bench!K16,"")</f>
        <v/>
      </c>
      <c r="K17" s="113">
        <f>IFERROR(A_Bench!M16,"")</f>
        <v/>
      </c>
      <c r="L17" s="115">
        <f>IFERROR(A_Bench!N16,"")</f>
        <v/>
      </c>
      <c r="M17" s="115">
        <f>IFERROR(A_Bench!U16,"")</f>
        <v/>
      </c>
      <c r="N17" s="80">
        <f>IF(OR(K17="",L17="",M17=""),"",IF(AND(K17=1,L17&gt;=0.9,L17&lt;=1.1,M17&gt;=0.70),"pass","FAIL"))</f>
        <v/>
      </c>
      <c r="O17" s="116">
        <f>IFERROR(A_Bench!P16,"")</f>
        <v/>
      </c>
      <c r="P17" s="116">
        <f>IFERROR(A_Bench!Q16,"")</f>
        <v/>
      </c>
      <c r="Q17" s="84">
        <f>IF(OR(O17="",P17=""),"",SQRT(0.5*(O17^2+P17^2)))</f>
        <v/>
      </c>
      <c r="R17" s="75">
        <f>IF(OR(G17="",$G$17="",$G$17=0),"",G17/$G$17)</f>
        <v/>
      </c>
      <c r="S17" s="111">
        <f>IF(OR(M17="",$M$17=""),"",M17-$M$17)</f>
        <v/>
      </c>
      <c r="T17" s="81" t="n"/>
      <c r="U17" s="127" t="n"/>
    </row>
    <row r="18">
      <c r="A18" s="80" t="n">
        <v>1</v>
      </c>
      <c r="B18" s="133" t="inlineStr">
        <is>
          <t>Kingbright</t>
        </is>
      </c>
      <c r="C18" s="85" t="n">
        <v>25</v>
      </c>
      <c r="D18" s="86" t="n">
        <v>0.4</v>
      </c>
      <c r="E18" s="86">
        <f>IF($B$5="inward",C18-2*D18,C18)</f>
        <v/>
      </c>
      <c r="F18" s="86">
        <f>IF(OR(E18="",$B$4=""),"",E18/2-$B$4)</f>
        <v/>
      </c>
      <c r="G18" s="74" t="n">
        <v>1078</v>
      </c>
      <c r="H18" s="74" t="n">
        <v>210.8</v>
      </c>
      <c r="I18" s="72" t="n">
        <v>0</v>
      </c>
      <c r="J18" s="74" t="n">
        <v>697</v>
      </c>
      <c r="K18" s="74" t="n">
        <v>1</v>
      </c>
      <c r="L18" s="79" t="n">
        <v>1.01</v>
      </c>
      <c r="M18" s="79" t="n">
        <v>0.67</v>
      </c>
      <c r="N18" s="80">
        <f>IF(OR(K18="",L18="",M18=""),"",IF(AND(K18=1,L18&gt;=0.9,L18&lt;=1.1,M18&gt;=0.70),"pass","FAIL"))</f>
        <v/>
      </c>
      <c r="O18" s="83" t="n">
        <v>0.02</v>
      </c>
      <c r="P18" s="83" t="n">
        <v>0.0215</v>
      </c>
      <c r="Q18" s="84">
        <f>IF(OR(O18="",P18=""),"",SQRT(0.5*(O18^2+P18^2)))</f>
        <v/>
      </c>
      <c r="R18" s="75">
        <f>IF(OR(G18="",$G$17="",$G$17=0),"",G18/$G$17)</f>
        <v/>
      </c>
      <c r="S18" s="111">
        <f>IF(OR(M18="",$M$17=""),"",M18-$M$17)</f>
        <v/>
      </c>
      <c r="T18" s="81" t="inlineStr">
        <is>
          <t>cap 1, re-seat #2 (first: 1078us area694 fill0.67 sigma0.0286). Area and fill identical; sigma moved 28% - the widest of the four re-seats today (8/6/5/28%), so sigma repeatability is ~10-15%, not the 5% the tightest suggested.  flux 136</t>
        </is>
      </c>
      <c r="U18" s="126" t="n">
        <v>0.07199999999999999</v>
      </c>
    </row>
    <row r="19">
      <c r="A19" s="80" t="inlineStr">
        <is>
          <t>drop</t>
        </is>
      </c>
      <c r="B19" s="133" t="inlineStr">
        <is>
          <t>Kingbright</t>
        </is>
      </c>
      <c r="C19" s="85" t="n">
        <v>25</v>
      </c>
      <c r="D19" s="86" t="n">
        <v>0.5</v>
      </c>
      <c r="E19" s="86">
        <f>IF($B$5="inward",C19-2*D19,C19)</f>
        <v/>
      </c>
      <c r="F19" s="86">
        <f>IF(OR(E19="",$B$4=""),"",E19/2-$B$4)</f>
        <v/>
      </c>
      <c r="G19" s="74" t="n"/>
      <c r="H19" s="74" t="n"/>
      <c r="I19" s="72" t="n"/>
      <c r="J19" s="74" t="n"/>
      <c r="K19" s="74" t="n"/>
      <c r="L19" s="79" t="n"/>
      <c r="M19" s="79" t="n"/>
      <c r="N19" s="80">
        <f>IF(OR(K19="",L19="",M19=""),"",IF(AND(K19=1,L19&gt;=0.9,L19&lt;=1.1,M19&gt;=0.70),"pass","FAIL"))</f>
        <v/>
      </c>
      <c r="O19" s="83" t="n"/>
      <c r="P19" s="83" t="n"/>
      <c r="Q19" s="84">
        <f>IF(OR(O19="",P19=""),"",SQRT(0.5*(O19^2+P19^2)))</f>
        <v/>
      </c>
      <c r="R19" s="75">
        <f>IF(OR(G19="",$G$17="",$G$17=0),"",G19/$G$17)</f>
        <v/>
      </c>
      <c r="S19" s="111">
        <f>IF(OR(M19="",$M$17=""),"",M19-$M$17)</f>
        <v/>
      </c>
      <c r="T19" s="123" t="inlineStr">
        <is>
          <t>DROPPED 2026-09-04. 0.5 mm measured worse than 0.4 mm at identical transmitted flux, i.e. cap variation not thickness. Ladder reduced to 0.2 / 0.4 mm with REPLICATE caps instead.</t>
        </is>
      </c>
      <c r="U19" s="126" t="n"/>
    </row>
    <row r="20">
      <c r="A20" s="98" t="inlineStr">
        <is>
          <t>done</t>
        </is>
      </c>
      <c r="B20" s="128" t="inlineStr">
        <is>
          <t>Everlight</t>
        </is>
      </c>
      <c r="C20" s="100" t="n">
        <v>20</v>
      </c>
      <c r="D20" s="101" t="n">
        <v>0.2</v>
      </c>
      <c r="E20" s="101">
        <f>IF($B$5="inward",C20-2*D20,C20)</f>
        <v/>
      </c>
      <c r="F20" s="101">
        <f>IF(OR(E20="",$B$4=""),"",E20/2-$B$4)</f>
        <v/>
      </c>
      <c r="G20" s="102">
        <f>IFERROR(A_Bench!F10,"")</f>
        <v/>
      </c>
      <c r="H20" s="102">
        <f>IFERROR(A_Bench!G10,"")</f>
        <v/>
      </c>
      <c r="I20" s="103">
        <f>IFERROR(A_Bench!H10,"")</f>
        <v/>
      </c>
      <c r="J20" s="102">
        <f>IFERROR(A_Bench!K10,"")</f>
        <v/>
      </c>
      <c r="K20" s="102">
        <f>IFERROR(A_Bench!M10,"")</f>
        <v/>
      </c>
      <c r="L20" s="104">
        <f>IFERROR(A_Bench!N10,"")</f>
        <v/>
      </c>
      <c r="M20" s="104">
        <f>IFERROR(A_Bench!U10,"")</f>
        <v/>
      </c>
      <c r="N20" s="105">
        <f>IF(OR(K20="",L20="",M20=""),"",IF(AND(K20=1,L20&gt;=0.9,L20&lt;=1.1,M20&gt;=0.70),"pass","FAIL"))</f>
        <v/>
      </c>
      <c r="O20" s="106">
        <f>IFERROR(A_Bench!P10,"")</f>
        <v/>
      </c>
      <c r="P20" s="106">
        <f>IFERROR(A_Bench!Q10,"")</f>
        <v/>
      </c>
      <c r="Q20" s="107">
        <f>IF(OR(O20="",P20=""),"",SQRT(0.5*(O20^2+P20^2)))</f>
        <v/>
      </c>
      <c r="R20" s="108">
        <f>IF(OR(G20="",$G$20="",$G$20=0),"",G20/$G$20)</f>
        <v/>
      </c>
      <c r="S20" s="109">
        <f>IF(OR(M20="",$M$20=""),"",M20-$M$20)</f>
        <v/>
      </c>
      <c r="T20" s="110" t="n"/>
      <c r="U20" s="125" t="n"/>
    </row>
    <row r="21">
      <c r="A21" s="80" t="n">
        <v>2</v>
      </c>
      <c r="B21" s="133" t="inlineStr">
        <is>
          <t>Everlight</t>
        </is>
      </c>
      <c r="C21" s="85" t="n">
        <v>20</v>
      </c>
      <c r="D21" s="86" t="n">
        <v>0.4</v>
      </c>
      <c r="E21" s="86">
        <f>IF($B$5="inward",C21-2*D21,C21)</f>
        <v/>
      </c>
      <c r="F21" s="86">
        <f>IF(OR(E21="",$B$4=""),"",E21/2-$B$4)</f>
        <v/>
      </c>
      <c r="G21" s="74" t="n">
        <v>3235</v>
      </c>
      <c r="H21" s="74" t="n">
        <v>210.2</v>
      </c>
      <c r="I21" s="72" t="n">
        <v>0</v>
      </c>
      <c r="J21" s="74" t="n">
        <v>814</v>
      </c>
      <c r="K21" s="74" t="n">
        <v>1</v>
      </c>
      <c r="L21" s="79" t="n">
        <v>1.03</v>
      </c>
      <c r="M21" s="79" t="n">
        <v>0.8</v>
      </c>
      <c r="N21" s="80">
        <f>IF(OR(K21="",L21="",M21=""),"",IF(AND(K21=1,L21&gt;=0.9,L21&lt;=1.1,M21&gt;=0.70),"pass","FAIL"))</f>
        <v/>
      </c>
      <c r="O21" s="83" t="n">
        <v>0.0163</v>
      </c>
      <c r="P21" s="83" t="n">
        <v>0.0202</v>
      </c>
      <c r="Q21" s="84">
        <f>IF(OR(O21="",P21=""),"",SQRT(0.5*(O21^2+P21^2)))</f>
        <v/>
      </c>
      <c r="R21" s="75">
        <f>IF(OR(G21="",$G$20="",$G$20=0),"",G21/$G$20)</f>
        <v/>
      </c>
      <c r="S21" s="111">
        <f>IF(OR(M21="",$M$20=""),"",M21-$M$20)</f>
        <v/>
      </c>
      <c r="T21" s="81" t="inlineStr">
        <is>
          <t>cap 1. Lowest sigma of the session (0.0184), though statistically tied with XL 25/0.2 (0.0187) given ~10-15% sigma repeatability. Thickness buys +0.03 fill for 1.42x exposure.  flux 53</t>
        </is>
      </c>
      <c r="U21" s="126" t="n">
        <v>0.062</v>
      </c>
    </row>
    <row r="22">
      <c r="A22" s="80" t="inlineStr">
        <is>
          <t>drop</t>
        </is>
      </c>
      <c r="B22" s="133" t="inlineStr">
        <is>
          <t>Everlight</t>
        </is>
      </c>
      <c r="C22" s="85" t="n">
        <v>20</v>
      </c>
      <c r="D22" s="86" t="n">
        <v>0.5</v>
      </c>
      <c r="E22" s="86">
        <f>IF($B$5="inward",C22-2*D22,C22)</f>
        <v/>
      </c>
      <c r="F22" s="86">
        <f>IF(OR(E22="",$B$4=""),"",E22/2-$B$4)</f>
        <v/>
      </c>
      <c r="G22" s="74" t="n"/>
      <c r="H22" s="74" t="n"/>
      <c r="I22" s="72" t="n"/>
      <c r="J22" s="74" t="n"/>
      <c r="K22" s="74" t="n"/>
      <c r="L22" s="79" t="n"/>
      <c r="M22" s="79" t="n"/>
      <c r="N22" s="80">
        <f>IF(OR(K22="",L22="",M22=""),"",IF(AND(K22=1,L22&gt;=0.9,L22&lt;=1.1,M22&gt;=0.70),"pass","FAIL"))</f>
        <v/>
      </c>
      <c r="O22" s="83" t="n"/>
      <c r="P22" s="83" t="n"/>
      <c r="Q22" s="84">
        <f>IF(OR(O22="",P22=""),"",SQRT(0.5*(O22^2+P22^2)))</f>
        <v/>
      </c>
      <c r="R22" s="75">
        <f>IF(OR(G22="",$G$20="",$G$20=0),"",G22/$G$20)</f>
        <v/>
      </c>
      <c r="S22" s="111">
        <f>IF(OR(M22="",$M$20=""),"",M22-$M$20)</f>
        <v/>
      </c>
      <c r="T22" s="123" t="inlineStr">
        <is>
          <t>DROPPED 2026-09-04. 0.5 mm measured worse than 0.4 mm at identical transmitted flux, i.e. cap variation not thickness. Ladder reduced to 0.2 / 0.4 mm with REPLICATE caps instead.</t>
        </is>
      </c>
      <c r="U22" s="126" t="n"/>
    </row>
    <row r="23">
      <c r="A23" s="112" t="inlineStr">
        <is>
          <t>done</t>
        </is>
      </c>
      <c r="B23" s="133" t="inlineStr">
        <is>
          <t>Everlight</t>
        </is>
      </c>
      <c r="C23" s="85" t="n">
        <v>25</v>
      </c>
      <c r="D23" s="86" t="n">
        <v>0.2</v>
      </c>
      <c r="E23" s="86">
        <f>IF($B$5="inward",C23-2*D23,C23)</f>
        <v/>
      </c>
      <c r="F23" s="86">
        <f>IF(OR(E23="",$B$4=""),"",E23/2-$B$4)</f>
        <v/>
      </c>
      <c r="G23" s="113">
        <f>IFERROR(A_Bench!F14,"")</f>
        <v/>
      </c>
      <c r="H23" s="113">
        <f>IFERROR(A_Bench!G14,"")</f>
        <v/>
      </c>
      <c r="I23" s="114">
        <f>IFERROR(A_Bench!H14,"")</f>
        <v/>
      </c>
      <c r="J23" s="113">
        <f>IFERROR(A_Bench!K14,"")</f>
        <v/>
      </c>
      <c r="K23" s="113">
        <f>IFERROR(A_Bench!M14,"")</f>
        <v/>
      </c>
      <c r="L23" s="115">
        <f>IFERROR(A_Bench!N14,"")</f>
        <v/>
      </c>
      <c r="M23" s="115">
        <f>IFERROR(A_Bench!U14,"")</f>
        <v/>
      </c>
      <c r="N23" s="80">
        <f>IF(OR(K23="",L23="",M23=""),"",IF(AND(K23=1,L23&gt;=0.9,L23&lt;=1.1,M23&gt;=0.70),"pass","FAIL"))</f>
        <v/>
      </c>
      <c r="O23" s="116">
        <f>IFERROR(A_Bench!P14,"")</f>
        <v/>
      </c>
      <c r="P23" s="116">
        <f>IFERROR(A_Bench!Q14,"")</f>
        <v/>
      </c>
      <c r="Q23" s="84">
        <f>IF(OR(O23="",P23=""),"",SQRT(0.5*(O23^2+P23^2)))</f>
        <v/>
      </c>
      <c r="R23" s="75">
        <f>IF(OR(G23="",$G$23="",$G$23=0),"",G23/$G$23)</f>
        <v/>
      </c>
      <c r="S23" s="111">
        <f>IF(OR(M23="",$M$23=""),"",M23-$M$23)</f>
        <v/>
      </c>
      <c r="T23" s="81" t="n"/>
      <c r="U23" s="127" t="n"/>
    </row>
    <row r="24">
      <c r="A24" s="80" t="n">
        <v>2</v>
      </c>
      <c r="B24" s="133" t="inlineStr">
        <is>
          <t>Everlight</t>
        </is>
      </c>
      <c r="C24" s="85" t="n">
        <v>25</v>
      </c>
      <c r="D24" s="86" t="n">
        <v>0.4</v>
      </c>
      <c r="E24" s="86">
        <f>IF($B$5="inward",C24-2*D24,C24)</f>
        <v/>
      </c>
      <c r="F24" s="86">
        <f>IF(OR(E24="",$B$4=""),"",E24/2-$B$4)</f>
        <v/>
      </c>
      <c r="G24" s="74" t="n">
        <v>3756</v>
      </c>
      <c r="H24" s="74" t="n">
        <v>215.4</v>
      </c>
      <c r="I24" s="72" t="n">
        <v>0</v>
      </c>
      <c r="J24" s="74" t="n">
        <v>910</v>
      </c>
      <c r="K24" s="74" t="n">
        <v>1</v>
      </c>
      <c r="L24" s="79" t="n">
        <v>1.03</v>
      </c>
      <c r="M24" s="79" t="n">
        <v>0.9399999999999999</v>
      </c>
      <c r="N24" s="80">
        <f>IF(OR(K24="",L24="",M24=""),"",IF(AND(K24=1,L24&gt;=0.9,L24&lt;=1.1,M24&gt;=0.70),"pass","FAIL"))</f>
        <v/>
      </c>
      <c r="O24" s="83" t="n">
        <v>0.0176</v>
      </c>
      <c r="P24" s="83" t="n">
        <v>0.0288</v>
      </c>
      <c r="Q24" s="84">
        <f>IF(OR(O24="",P24=""),"",SQRT(0.5*(O24^2+P24^2)))</f>
        <v/>
      </c>
      <c r="R24" s="75">
        <f>IF(OR(G24="",$G$23="",$G$23=0),"",G24/$G$23)</f>
        <v/>
      </c>
      <c r="S24" s="111">
        <f>IF(OR(M24="",$M$23=""),"",M24-$M$23)</f>
        <v/>
      </c>
      <c r="T24" s="81" t="inlineStr">
        <is>
          <t>cap 1. Thickness adds +0.02 fill for 1.08x exposure - marginal, same as the other LEDs at 25 mm. Confirms: go 25 mm, skip the thick wall.  flux 52</t>
        </is>
      </c>
      <c r="U24" s="126" t="n">
        <v>0.058</v>
      </c>
    </row>
    <row r="25">
      <c r="A25" s="80" t="inlineStr">
        <is>
          <t>drop</t>
        </is>
      </c>
      <c r="B25" s="133" t="inlineStr">
        <is>
          <t>Everlight</t>
        </is>
      </c>
      <c r="C25" s="85" t="n">
        <v>25</v>
      </c>
      <c r="D25" s="86" t="n">
        <v>0.5</v>
      </c>
      <c r="E25" s="86">
        <f>IF($B$5="inward",C25-2*D25,C25)</f>
        <v/>
      </c>
      <c r="F25" s="86">
        <f>IF(OR(E25="",$B$4=""),"",E25/2-$B$4)</f>
        <v/>
      </c>
      <c r="G25" s="74" t="n"/>
      <c r="H25" s="74" t="n"/>
      <c r="I25" s="72" t="n"/>
      <c r="J25" s="74" t="n"/>
      <c r="K25" s="74" t="n"/>
      <c r="L25" s="79" t="n"/>
      <c r="M25" s="79" t="n"/>
      <c r="N25" s="80">
        <f>IF(OR(K25="",L25="",M25=""),"",IF(AND(K25=1,L25&gt;=0.9,L25&lt;=1.1,M25&gt;=0.70),"pass","FAIL"))</f>
        <v/>
      </c>
      <c r="O25" s="83" t="n"/>
      <c r="P25" s="83" t="n"/>
      <c r="Q25" s="84">
        <f>IF(OR(O25="",P25=""),"",SQRT(0.5*(O25^2+P25^2)))</f>
        <v/>
      </c>
      <c r="R25" s="75">
        <f>IF(OR(G25="",$G$23="",$G$23=0),"",G25/$G$23)</f>
        <v/>
      </c>
      <c r="S25" s="111">
        <f>IF(OR(M25="",$M$23=""),"",M25-$M$23)</f>
        <v/>
      </c>
      <c r="T25" s="123" t="inlineStr">
        <is>
          <t>DROPPED 2026-09-04. 0.5 mm measured worse than 0.4 mm at identical transmitted flux, i.e. cap variation not thickness. Ladder reduced to 0.2 / 0.4 mm with REPLICATE caps instead.</t>
        </is>
      </c>
      <c r="U25" s="126" t="n"/>
    </row>
    <row r="26">
      <c r="A26" s="98" t="inlineStr">
        <is>
          <t>done</t>
        </is>
      </c>
      <c r="B26" s="128" t="inlineStr">
        <is>
          <t>XL</t>
        </is>
      </c>
      <c r="C26" s="100" t="n">
        <v>20</v>
      </c>
      <c r="D26" s="101" t="n">
        <v>0.2</v>
      </c>
      <c r="E26" s="101">
        <f>IF($B$5="inward",C26-2*D26,C26)</f>
        <v/>
      </c>
      <c r="F26" s="101">
        <f>IF(OR(E26="",$B$4=""),"",E26/2-$B$4)</f>
        <v/>
      </c>
      <c r="G26" s="102">
        <f>IFERROR(A_Bench!F11,"")</f>
        <v/>
      </c>
      <c r="H26" s="102">
        <f>IFERROR(A_Bench!G11,"")</f>
        <v/>
      </c>
      <c r="I26" s="103">
        <f>IFERROR(A_Bench!H11,"")</f>
        <v/>
      </c>
      <c r="J26" s="102">
        <f>IFERROR(A_Bench!K11,"")</f>
        <v/>
      </c>
      <c r="K26" s="102">
        <f>IFERROR(A_Bench!M11,"")</f>
        <v/>
      </c>
      <c r="L26" s="104">
        <f>IFERROR(A_Bench!N11,"")</f>
        <v/>
      </c>
      <c r="M26" s="104">
        <f>IFERROR(A_Bench!U11,"")</f>
        <v/>
      </c>
      <c r="N26" s="105">
        <f>IF(OR(K26="",L26="",M26=""),"",IF(AND(K26=1,L26&gt;=0.9,L26&lt;=1.1,M26&gt;=0.70),"pass","FAIL"))</f>
        <v/>
      </c>
      <c r="O26" s="106">
        <f>IFERROR(A_Bench!P11,"")</f>
        <v/>
      </c>
      <c r="P26" s="106">
        <f>IFERROR(A_Bench!Q11,"")</f>
        <v/>
      </c>
      <c r="Q26" s="107">
        <f>IF(OR(O26="",P26=""),"",SQRT(0.5*(O26^2+P26^2)))</f>
        <v/>
      </c>
      <c r="R26" s="108">
        <f>IF(OR(G26="",$G$26="",$G$26=0),"",G26/$G$26)</f>
        <v/>
      </c>
      <c r="S26" s="109">
        <f>IF(OR(M26="",$M$26=""),"",M26-$M$26)</f>
        <v/>
      </c>
      <c r="T26" s="110" t="n"/>
      <c r="U26" s="125" t="n"/>
    </row>
    <row r="27">
      <c r="A27" s="80" t="n">
        <v>3</v>
      </c>
      <c r="B27" s="133" t="inlineStr">
        <is>
          <t>XL</t>
        </is>
      </c>
      <c r="C27" s="85" t="n">
        <v>20</v>
      </c>
      <c r="D27" s="86" t="n">
        <v>0.4</v>
      </c>
      <c r="E27" s="86">
        <f>IF($B$5="inward",C27-2*D27,C27)</f>
        <v/>
      </c>
      <c r="F27" s="86">
        <f>IF(OR(E27="",$B$4=""),"",E27/2-$B$4)</f>
        <v/>
      </c>
      <c r="G27" s="74" t="n">
        <v>7351</v>
      </c>
      <c r="H27" s="74" t="n">
        <v>203.8</v>
      </c>
      <c r="I27" s="72" t="n">
        <v>0</v>
      </c>
      <c r="J27" s="74" t="n">
        <v>846</v>
      </c>
      <c r="K27" s="74" t="n">
        <v>1</v>
      </c>
      <c r="L27" s="79" t="n">
        <v>1.01</v>
      </c>
      <c r="M27" s="79" t="n">
        <v>0.85</v>
      </c>
      <c r="N27" s="80">
        <f>IF(OR(K27="",L27="",M27=""),"",IF(AND(K27=1,L27&gt;=0.9,L27&lt;=1.1,M27&gt;=0.70),"pass","FAIL"))</f>
        <v/>
      </c>
      <c r="O27" s="83" t="n">
        <v>0.0185</v>
      </c>
      <c r="P27" s="83" t="n">
        <v>0.0309</v>
      </c>
      <c r="Q27" s="84">
        <f>IF(OR(O27="",P27=""),"",SQRT(0.5*(O27^2+P27^2)))</f>
        <v/>
      </c>
      <c r="R27" s="75">
        <f>IF(OR(G27="",$G$26="",$G$26=0),"",G27/$G$26)</f>
        <v/>
      </c>
      <c r="S27" s="111">
        <f>IF(OR(M27="",$M$26=""),"",M27-$M$26)</f>
        <v/>
      </c>
      <c r="T27" s="81" t="inlineStr">
        <is>
          <t>cap 1. FIRST BUILD TO PASS THE BLEND GATE: fill 0.85, lobe 0.059, blobs 1, w/h 1.01. Thickness cost only 1.23x here vs 2.10x for Kingbright on the SAME caps - a wide beam already takes a long oblique path through the shell, so extra wall adds proportionally less.  flux 23</t>
        </is>
      </c>
      <c r="U27" s="126" t="n">
        <v>0.059</v>
      </c>
    </row>
    <row r="28">
      <c r="A28" s="80" t="inlineStr">
        <is>
          <t>drop</t>
        </is>
      </c>
      <c r="B28" s="133" t="inlineStr">
        <is>
          <t>XL</t>
        </is>
      </c>
      <c r="C28" s="85" t="n">
        <v>20</v>
      </c>
      <c r="D28" s="86" t="n">
        <v>0.5</v>
      </c>
      <c r="E28" s="86">
        <f>IF($B$5="inward",C28-2*D28,C28)</f>
        <v/>
      </c>
      <c r="F28" s="86">
        <f>IF(OR(E28="",$B$4=""),"",E28/2-$B$4)</f>
        <v/>
      </c>
      <c r="G28" s="74" t="n"/>
      <c r="H28" s="74" t="n"/>
      <c r="I28" s="72" t="n"/>
      <c r="J28" s="74" t="n"/>
      <c r="K28" s="74" t="n"/>
      <c r="L28" s="79" t="n"/>
      <c r="M28" s="79" t="n"/>
      <c r="N28" s="80">
        <f>IF(OR(K28="",L28="",M28=""),"",IF(AND(K28=1,L28&gt;=0.9,L28&lt;=1.1,M28&gt;=0.70),"pass","FAIL"))</f>
        <v/>
      </c>
      <c r="O28" s="83" t="n"/>
      <c r="P28" s="83" t="n"/>
      <c r="Q28" s="84">
        <f>IF(OR(O28="",P28=""),"",SQRT(0.5*(O28^2+P28^2)))</f>
        <v/>
      </c>
      <c r="R28" s="75">
        <f>IF(OR(G28="",$G$26="",$G$26=0),"",G28/$G$26)</f>
        <v/>
      </c>
      <c r="S28" s="111">
        <f>IF(OR(M28="",$M$26=""),"",M28-$M$26)</f>
        <v/>
      </c>
      <c r="T28" s="123" t="inlineStr">
        <is>
          <t>DROPPED 2026-09-04. 0.5 mm measured worse than 0.4 mm at identical transmitted flux, i.e. cap variation not thickness. Ladder reduced to 0.2 / 0.4 mm with REPLICATE caps instead.</t>
        </is>
      </c>
      <c r="U28" s="126" t="n"/>
    </row>
    <row r="29">
      <c r="A29" s="112" t="inlineStr">
        <is>
          <t>done</t>
        </is>
      </c>
      <c r="B29" s="133" t="inlineStr">
        <is>
          <t>XL</t>
        </is>
      </c>
      <c r="C29" s="85" t="n">
        <v>25</v>
      </c>
      <c r="D29" s="86" t="n">
        <v>0.2</v>
      </c>
      <c r="E29" s="86">
        <f>IF($B$5="inward",C29-2*D29,C29)</f>
        <v/>
      </c>
      <c r="F29" s="86">
        <f>IF(OR(E29="",$B$4=""),"",E29/2-$B$4)</f>
        <v/>
      </c>
      <c r="G29" s="113">
        <f>IFERROR(A_Bench!F15,"")</f>
        <v/>
      </c>
      <c r="H29" s="113">
        <f>IFERROR(A_Bench!G15,"")</f>
        <v/>
      </c>
      <c r="I29" s="114">
        <f>IFERROR(A_Bench!H15,"")</f>
        <v/>
      </c>
      <c r="J29" s="113">
        <f>IFERROR(A_Bench!K15,"")</f>
        <v/>
      </c>
      <c r="K29" s="113">
        <f>IFERROR(A_Bench!M15,"")</f>
        <v/>
      </c>
      <c r="L29" s="115">
        <f>IFERROR(A_Bench!N15,"")</f>
        <v/>
      </c>
      <c r="M29" s="115">
        <f>IFERROR(A_Bench!U15,"")</f>
        <v/>
      </c>
      <c r="N29" s="80">
        <f>IF(OR(K29="",L29="",M29=""),"",IF(AND(K29=1,L29&gt;=0.9,L29&lt;=1.1,M29&gt;=0.70),"pass","FAIL"))</f>
        <v/>
      </c>
      <c r="O29" s="116">
        <f>IFERROR(A_Bench!P15,"")</f>
        <v/>
      </c>
      <c r="P29" s="116">
        <f>IFERROR(A_Bench!Q15,"")</f>
        <v/>
      </c>
      <c r="Q29" s="84">
        <f>IF(OR(O29="",P29=""),"",SQRT(0.5*(O29^2+P29^2)))</f>
        <v/>
      </c>
      <c r="R29" s="75">
        <f>IF(OR(G29="",$G$29="",$G$29=0),"",G29/$G$29)</f>
        <v/>
      </c>
      <c r="S29" s="111">
        <f>IF(OR(M29="",$M$29=""),"",M29-$M$29)</f>
        <v/>
      </c>
      <c r="T29" s="81" t="n"/>
      <c r="U29" s="127" t="n"/>
    </row>
    <row r="30">
      <c r="A30" s="80" t="n">
        <v>3</v>
      </c>
      <c r="B30" s="133" t="inlineStr">
        <is>
          <t>XL</t>
        </is>
      </c>
      <c r="C30" s="85" t="n">
        <v>25</v>
      </c>
      <c r="D30" s="86" t="n">
        <v>0.4</v>
      </c>
      <c r="E30" s="86">
        <f>IF($B$5="inward",C30-2*D30,C30)</f>
        <v/>
      </c>
      <c r="F30" s="86">
        <f>IF(OR(E30="",$B$4=""),"",E30/2-$B$4)</f>
        <v/>
      </c>
      <c r="G30" s="74" t="n">
        <v>8628</v>
      </c>
      <c r="H30" s="74" t="n">
        <v>213.7</v>
      </c>
      <c r="I30" s="72" t="n">
        <v>0</v>
      </c>
      <c r="J30" s="74" t="n">
        <v>967</v>
      </c>
      <c r="K30" s="74" t="n">
        <v>1</v>
      </c>
      <c r="L30" s="79" t="n">
        <v>1</v>
      </c>
      <c r="M30" s="79" t="n">
        <v>1.03</v>
      </c>
      <c r="N30" s="80">
        <f>IF(OR(K30="",L30="",M30=""),"",IF(AND(K30=1,L30&gt;=0.9,L30&lt;=1.1,M30&gt;=0.70),"pass","FAIL"))</f>
        <v/>
      </c>
      <c r="O30" s="83" t="n">
        <v>0.0206</v>
      </c>
      <c r="P30" s="83" t="n">
        <v>0.0245</v>
      </c>
      <c r="Q30" s="84">
        <f>IF(OR(O30="",P30=""),"",SQRT(0.5*(O30^2+P30^2)))</f>
        <v/>
      </c>
      <c r="R30" s="75">
        <f>IF(OR(G30="",$G$29="",$G$29=0),"",G30/$G$29)</f>
        <v/>
      </c>
      <c r="S30" s="111">
        <f>IF(OR(M30="",$M$29=""),"",M30-$M$29)</f>
        <v/>
      </c>
      <c r="T30" s="81" t="inlineStr">
        <is>
          <t>cap 1. First attempt gave sigma 0.1856 (sv/su 3.4) while area/fill/lobe were identical - a rig disturbance mid-run, rejected and re-measured. Thickness adds nothing at 25 mm: same fill, same lobe, 5% more exposure.  flux 24</t>
        </is>
      </c>
      <c r="U30" s="126" t="n">
        <v>0.062</v>
      </c>
    </row>
    <row r="31">
      <c r="A31" s="80" t="inlineStr">
        <is>
          <t>drop</t>
        </is>
      </c>
      <c r="B31" s="133" t="inlineStr">
        <is>
          <t>XL</t>
        </is>
      </c>
      <c r="C31" s="85" t="n">
        <v>25</v>
      </c>
      <c r="D31" s="86" t="n">
        <v>0.5</v>
      </c>
      <c r="E31" s="86">
        <f>IF($B$5="inward",C31-2*D31,C31)</f>
        <v/>
      </c>
      <c r="F31" s="86">
        <f>IF(OR(E31="",$B$4=""),"",E31/2-$B$4)</f>
        <v/>
      </c>
      <c r="G31" s="74" t="n"/>
      <c r="H31" s="74" t="n"/>
      <c r="I31" s="72" t="n"/>
      <c r="J31" s="74" t="n"/>
      <c r="K31" s="74" t="n"/>
      <c r="L31" s="79" t="n"/>
      <c r="M31" s="79" t="n"/>
      <c r="N31" s="80">
        <f>IF(OR(K31="",L31="",M31=""),"",IF(AND(K31=1,L31&gt;=0.9,L31&lt;=1.1,M31&gt;=0.70),"pass","FAIL"))</f>
        <v/>
      </c>
      <c r="O31" s="83" t="n"/>
      <c r="P31" s="83" t="n"/>
      <c r="Q31" s="84">
        <f>IF(OR(O31="",P31=""),"",SQRT(0.5*(O31^2+P31^2)))</f>
        <v/>
      </c>
      <c r="R31" s="75">
        <f>IF(OR(G31="",$G$29="",$G$29=0),"",G31/$G$29)</f>
        <v/>
      </c>
      <c r="S31" s="111">
        <f>IF(OR(M31="",$M$29=""),"",M31-$M$29)</f>
        <v/>
      </c>
      <c r="T31" s="123" t="inlineStr">
        <is>
          <t>DROPPED 2026-09-04. 0.5 mm measured worse than 0.4 mm at identical transmitted flux, i.e. cap variation not thickness. Ladder reduced to 0.2 / 0.4 mm with REPLICATE caps instead.</t>
        </is>
      </c>
      <c r="U31" s="126" t="n"/>
    </row>
    <row r="33">
      <c r="A33" s="76" t="inlineStr">
        <is>
          <t>HOW TO READ THIS</t>
        </is>
      </c>
    </row>
    <row r="34">
      <c r="A34" s="91" t="inlineStr">
        <is>
          <t>Priority 1 is Kingbright and Vishay. They are the parts that RING (fill 0.77-0.82 and 0.67-0.69 at 0.2 mm) and the only ones with the light budget to pay for a thicker wall - 251-1186 us against XL's 6057. Kingbright first: it needs the smallest lift (0.82 -&gt; 0.85) and already has the study's best sigma.</t>
        </is>
      </c>
    </row>
    <row r="35">
      <c r="A35" s="91" t="inlineStr">
        <is>
          <t>Priority 3 is XL, and only as a control. It already reads fill 0.99-1.08, so a thicker wall can only cost it light, and it has the least to spare. Its value is that it is already uniform, so its exposure-vs-wall curve is the cleanest measurement of the MATERIAL's attenuation per mm - which then predicts the cost for the others.</t>
        </is>
      </c>
    </row>
    <row r="36">
      <c r="A36" s="91" t="inlineStr">
        <is>
          <t>Standoff is NOT a confound at these thicknesses. Going 0.2 -&gt; 0.5 mm on a 20 mm shell moves the wall 0.3 mm closer to the LEDs - against a cavity radius of ~10 mm, that is negligible. This is a clean test of scattering versus transmission: a thicker wall scatters more (better fill) and transmits less (more exposure). Exposure vs 0.2 mm is the price, Fill vs 0.2 mm is what you bought.</t>
        </is>
      </c>
    </row>
    <row r="37">
      <c r="A37" s="91" t="inlineStr">
        <is>
          <t>Diameter and thickness interact differently per part. On the 2 mm caps, diameter helped Kingbright (fill 0.77 -&gt; 0.82, sigma 0.0230 -&gt; 0.0162), barely moved Vishay (0.67 -&gt; 0.69) and was irrelevant to XL (already ~1.0). Expect wall thickness to follow the same ordering: most useful where the beam is narrowest.</t>
        </is>
      </c>
    </row>
    <row r="38">
      <c r="A38" s="91" t="inlineStr">
        <is>
          <t>Exposure vs 2 mm is the price. Fill vs 2 mm is what you bought. A row is only interesting if it buys enough fill to pass the gate without pricing itself out on smear - at ~1300 px/s per m/s, every 1000 us of exposure is 1.3 px of smear at 1 m/s.</t>
        </is>
      </c>
    </row>
    <row r="39">
      <c r="A39" s="91" t="inlineStr">
        <is>
          <t>Do NOT re-measure the 0.2 mm rows here - they are pulled live from A_Bench and shown in grey. They will be blank until Test A run 3 is done, since the rig was torn down after run 2.</t>
        </is>
      </c>
    </row>
  </sheetData>
  <pageMargins left="0.75" right="0.75" top="1" bottom="1" header="0.5" footer="0.5"/>
</worksheet>
</file>

<file path=xl/worksheets/sheet11.xml><?xml version="1.0" encoding="utf-8"?>
<worksheet xmlns="http://schemas.openxmlformats.org/spreadsheetml/2006/main">
  <sheetPr>
    <tabColor rgb="FF1F3864"/>
    <outlinePr summaryBelow="1" summaryRight="1"/>
    <pageSetUpPr/>
  </sheetPr>
  <dimension ref="A1:O35"/>
  <sheetViews>
    <sheetView showGridLines="0" workbookViewId="0">
      <pane ySplit="3" topLeftCell="A4" activePane="bottomLeft" state="frozen"/>
      <selection pane="bottomLeft" activeCell="A1" sqref="A1"/>
    </sheetView>
  </sheetViews>
  <sheetFormatPr baseColWidth="10" defaultColWidth="8.83203125" defaultRowHeight="15"/>
  <cols>
    <col width="13" customWidth="1" min="1" max="1"/>
    <col width="11" customWidth="1" min="2" max="2"/>
    <col width="9" customWidth="1" min="3" max="3"/>
    <col width="10" customWidth="1" min="4" max="5"/>
    <col width="9" customWidth="1" min="6" max="6"/>
    <col width="11" customWidth="1" min="7" max="7"/>
    <col width="12" customWidth="1" min="8" max="8"/>
    <col width="11" customWidth="1" min="9" max="9"/>
    <col width="9" customWidth="1" min="10" max="10"/>
    <col width="11" customWidth="1" min="11" max="11"/>
    <col width="12" customWidth="1" min="12" max="12"/>
    <col width="13" customWidth="1" min="13" max="14"/>
    <col width="11" customWidth="1" min="15" max="15"/>
  </cols>
  <sheetData>
    <row r="1" ht="18" customHeight="1">
      <c r="A1" s="6" t="inlineStr">
        <is>
          <t>SUMMARY - fills in automatically as you enter data</t>
        </is>
      </c>
    </row>
    <row r="2">
      <c r="A2" s="7" t="inlineStr">
        <is>
          <t>Black = calculated. One row per LED type per build. RANK covers the 8 real markers only - the bare rows are a reference.</t>
        </is>
      </c>
    </row>
    <row r="3" ht="30" customHeight="1">
      <c r="A3" s="8" t="inlineStr">
        <is>
          <t>LED Type</t>
        </is>
      </c>
      <c r="B3" s="8" t="inlineStr">
        <is>
          <t>Build</t>
        </is>
      </c>
      <c r="C3" s="8" t="inlineStr">
        <is>
          <t>Drive I
(mA)</t>
        </is>
      </c>
      <c r="D3" s="8" t="inlineStr">
        <is>
          <t>Exposure
(us)</t>
        </is>
      </c>
      <c r="E3" s="8" t="inlineStr">
        <is>
          <t>Peak
mean</t>
        </is>
      </c>
      <c r="F3" s="8" t="inlineStr">
        <is>
          <t>Sat px
max</t>
        </is>
      </c>
      <c r="G3" s="8" t="inlineStr">
        <is>
          <t>Area
mean</t>
        </is>
      </c>
      <c r="H3" s="8" t="inlineStr">
        <is>
          <t>sigma_RMS
mean</t>
        </is>
      </c>
      <c r="I3" s="8" t="inlineStr">
        <is>
          <t>sig_v/sig_u</t>
        </is>
      </c>
      <c r="J3" s="8" t="inlineStr">
        <is>
          <t>Blend
gate</t>
        </is>
      </c>
      <c r="K3" s="8" t="inlineStr">
        <is>
          <t>Roll bias
max (px)</t>
        </is>
      </c>
      <c r="L3" s="8" t="inlineStr">
        <is>
          <t>Area kept
at 45 deg</t>
        </is>
      </c>
      <c r="M3" s="8" t="inlineStr">
        <is>
          <t>Max range
detected (m)</t>
        </is>
      </c>
      <c r="N3" s="8" t="inlineStr">
        <is>
          <t>Saturating?</t>
        </is>
      </c>
      <c r="O3" s="8" t="inlineStr">
        <is>
          <t>RANK
(1 = best)</t>
        </is>
      </c>
    </row>
    <row r="4">
      <c r="A4" s="15" t="inlineStr">
        <is>
          <t>Vishay</t>
        </is>
      </c>
      <c r="B4" s="16" t="inlineStr">
        <is>
          <t>bare (ref)</t>
        </is>
      </c>
      <c r="C4" s="57">
        <f>IFERROR(A_Bench!E5,"")</f>
        <v/>
      </c>
      <c r="D4" s="17">
        <f>IFERROR(A_Bench!F5,"")</f>
        <v/>
      </c>
      <c r="E4" s="17">
        <f>IFERROR(AVERAGE(A_Bench!G5:G5),"")</f>
        <v/>
      </c>
      <c r="F4" s="57">
        <f>IFERROR(MAX(A_Bench!H5:H5),"")</f>
        <v/>
      </c>
      <c r="G4" s="17">
        <f>IFERROR(AVERAGE(A_Bench!K5:K5),"")</f>
        <v/>
      </c>
      <c r="H4" s="60">
        <f>IFERROR(AVERAGE(A_Bench!R5:R5),"")</f>
        <v/>
      </c>
      <c r="I4" s="57">
        <f>IFERROR(A_Bench!S5,"")</f>
        <v/>
      </c>
      <c r="J4" s="16">
        <f>IFERROR(A_Bench!O5,"")</f>
        <v/>
      </c>
      <c r="K4" s="45" t="inlineStr">
        <is>
          <t>n/a</t>
        </is>
      </c>
      <c r="L4" s="67">
        <f>IFERROR(B_Angle!I7,"")</f>
        <v/>
      </c>
      <c r="M4" s="57">
        <f>IFERROR(MAX(C_Range!L4:L8),"")</f>
        <v/>
      </c>
      <c r="N4" s="16">
        <f>IF(F4="","",IF(F4&gt;0,"YES - REJECT","no"))</f>
        <v/>
      </c>
      <c r="O4" s="45" t="inlineStr">
        <is>
          <t>ref</t>
        </is>
      </c>
    </row>
    <row r="5">
      <c r="A5" s="25" t="inlineStr">
        <is>
          <t>Everlight</t>
        </is>
      </c>
      <c r="B5" s="26" t="inlineStr">
        <is>
          <t>bare (ref)</t>
        </is>
      </c>
      <c r="C5" s="53">
        <f>IFERROR(A_Bench!E6,"")</f>
        <v/>
      </c>
      <c r="D5" s="27">
        <f>IFERROR(A_Bench!F6,"")</f>
        <v/>
      </c>
      <c r="E5" s="27">
        <f>IFERROR(AVERAGE(A_Bench!G6:G6),"")</f>
        <v/>
      </c>
      <c r="F5" s="53">
        <f>IFERROR(MAX(A_Bench!H6:H6),"")</f>
        <v/>
      </c>
      <c r="G5" s="27">
        <f>IFERROR(AVERAGE(A_Bench!K6:K6),"")</f>
        <v/>
      </c>
      <c r="H5" s="64">
        <f>IFERROR(AVERAGE(A_Bench!R6:R6),"")</f>
        <v/>
      </c>
      <c r="I5" s="53">
        <f>IFERROR(A_Bench!S6,"")</f>
        <v/>
      </c>
      <c r="J5" s="26">
        <f>IFERROR(A_Bench!O6,"")</f>
        <v/>
      </c>
      <c r="K5" s="10" t="inlineStr">
        <is>
          <t>n/a</t>
        </is>
      </c>
      <c r="L5" s="68">
        <f>IFERROR(B_Angle!I12,"")</f>
        <v/>
      </c>
      <c r="M5" s="53">
        <f>IFERROR(MAX(C_Range!L9:L13),"")</f>
        <v/>
      </c>
      <c r="N5" s="26">
        <f>IF(F5="","",IF(F5&gt;0,"YES - REJECT","no"))</f>
        <v/>
      </c>
      <c r="O5" s="10" t="inlineStr">
        <is>
          <t>ref</t>
        </is>
      </c>
    </row>
    <row r="6">
      <c r="A6" s="25" t="inlineStr">
        <is>
          <t>XL</t>
        </is>
      </c>
      <c r="B6" s="26" t="inlineStr">
        <is>
          <t>bare (ref)</t>
        </is>
      </c>
      <c r="C6" s="53">
        <f>IFERROR(A_Bench!E7,"")</f>
        <v/>
      </c>
      <c r="D6" s="27">
        <f>IFERROR(A_Bench!F7,"")</f>
        <v/>
      </c>
      <c r="E6" s="27">
        <f>IFERROR(AVERAGE(A_Bench!G7:G7),"")</f>
        <v/>
      </c>
      <c r="F6" s="53">
        <f>IFERROR(MAX(A_Bench!H7:H7),"")</f>
        <v/>
      </c>
      <c r="G6" s="27">
        <f>IFERROR(AVERAGE(A_Bench!K7:K7),"")</f>
        <v/>
      </c>
      <c r="H6" s="64">
        <f>IFERROR(AVERAGE(A_Bench!R7:R7),"")</f>
        <v/>
      </c>
      <c r="I6" s="53">
        <f>IFERROR(A_Bench!S7,"")</f>
        <v/>
      </c>
      <c r="J6" s="26">
        <f>IFERROR(A_Bench!O7,"")</f>
        <v/>
      </c>
      <c r="K6" s="10" t="inlineStr">
        <is>
          <t>n/a</t>
        </is>
      </c>
      <c r="L6" s="68">
        <f>IFERROR(B_Angle!I17,"")</f>
        <v/>
      </c>
      <c r="M6" s="53">
        <f>IFERROR(MAX(C_Range!L14:L18),"")</f>
        <v/>
      </c>
      <c r="N6" s="26">
        <f>IF(F6="","",IF(F6&gt;0,"YES - REJECT","no"))</f>
        <v/>
      </c>
      <c r="O6" s="10" t="inlineStr">
        <is>
          <t>ref</t>
        </is>
      </c>
    </row>
    <row r="7">
      <c r="A7" s="25" t="inlineStr">
        <is>
          <t>Kingbright</t>
        </is>
      </c>
      <c r="B7" s="26" t="inlineStr">
        <is>
          <t>bare (ref)</t>
        </is>
      </c>
      <c r="C7" s="53">
        <f>IFERROR(A_Bench!E8,"")</f>
        <v/>
      </c>
      <c r="D7" s="27">
        <f>IFERROR(A_Bench!F8,"")</f>
        <v/>
      </c>
      <c r="E7" s="27">
        <f>IFERROR(AVERAGE(A_Bench!G8:G8),"")</f>
        <v/>
      </c>
      <c r="F7" s="53">
        <f>IFERROR(MAX(A_Bench!H8:H8),"")</f>
        <v/>
      </c>
      <c r="G7" s="27">
        <f>IFERROR(AVERAGE(A_Bench!K8:K8),"")</f>
        <v/>
      </c>
      <c r="H7" s="64">
        <f>IFERROR(AVERAGE(A_Bench!R8:R8),"")</f>
        <v/>
      </c>
      <c r="I7" s="53">
        <f>IFERROR(A_Bench!S8,"")</f>
        <v/>
      </c>
      <c r="J7" s="26">
        <f>IFERROR(A_Bench!O8,"")</f>
        <v/>
      </c>
      <c r="K7" s="10" t="inlineStr">
        <is>
          <t>n/a</t>
        </is>
      </c>
      <c r="L7" s="68">
        <f>IFERROR(B_Angle!I22,"")</f>
        <v/>
      </c>
      <c r="M7" s="53">
        <f>IFERROR(MAX(C_Range!L19:L23),"")</f>
        <v/>
      </c>
      <c r="N7" s="26">
        <f>IF(F7="","",IF(F7&gt;0,"YES - REJECT","no"))</f>
        <v/>
      </c>
      <c r="O7" s="10" t="inlineStr">
        <is>
          <t>ref</t>
        </is>
      </c>
    </row>
    <row r="8">
      <c r="A8" s="15" t="inlineStr">
        <is>
          <t>Vishay</t>
        </is>
      </c>
      <c r="B8" s="16" t="inlineStr">
        <is>
          <t>20 mm</t>
        </is>
      </c>
      <c r="C8" s="57">
        <f>IFERROR(A_Bench!E9,"")</f>
        <v/>
      </c>
      <c r="D8" s="17">
        <f>IFERROR(A_Bench!F9,"")</f>
        <v/>
      </c>
      <c r="E8" s="17">
        <f>IFERROR(AVERAGE(A_Bench!G9:G9),"")</f>
        <v/>
      </c>
      <c r="F8" s="57">
        <f>IFERROR(MAX(A_Bench!H9:H9),"")</f>
        <v/>
      </c>
      <c r="G8" s="17">
        <f>IFERROR(AVERAGE(A_Bench!K9:K9),"")</f>
        <v/>
      </c>
      <c r="H8" s="60">
        <f>IFERROR(AVERAGE(A_Bench!R9:R9),"")</f>
        <v/>
      </c>
      <c r="I8" s="57">
        <f>IFERROR(A_Bench!S9,"")</f>
        <v/>
      </c>
      <c r="J8" s="16">
        <f>IFERROR(A_Bench!O9,"")</f>
        <v/>
      </c>
      <c r="K8" s="40">
        <f>IF(COUNT(B_Angle!J68:J72)=0,"",MAX(B_Angle!J68:J72))</f>
        <v/>
      </c>
      <c r="L8" s="67">
        <f>IFERROR(B_Angle!I27,"")</f>
        <v/>
      </c>
      <c r="M8" s="57">
        <f>IFERROR(MAX(C_Range!L24:L28),"")</f>
        <v/>
      </c>
      <c r="N8" s="16">
        <f>IF(F8="","",IF(F8&gt;0,"YES - REJECT","no"))</f>
        <v/>
      </c>
      <c r="O8" s="17">
        <f>IFERROR(RANK(H8,$H$8:$H$15,1),"")</f>
        <v/>
      </c>
    </row>
    <row r="9">
      <c r="A9" s="25" t="inlineStr">
        <is>
          <t>Everlight</t>
        </is>
      </c>
      <c r="B9" s="26" t="inlineStr">
        <is>
          <t>20 mm</t>
        </is>
      </c>
      <c r="C9" s="53">
        <f>IFERROR(A_Bench!E10,"")</f>
        <v/>
      </c>
      <c r="D9" s="27">
        <f>IFERROR(A_Bench!F10,"")</f>
        <v/>
      </c>
      <c r="E9" s="27">
        <f>IFERROR(AVERAGE(A_Bench!G10:G10),"")</f>
        <v/>
      </c>
      <c r="F9" s="53">
        <f>IFERROR(MAX(A_Bench!H10:H10),"")</f>
        <v/>
      </c>
      <c r="G9" s="27">
        <f>IFERROR(AVERAGE(A_Bench!K10:K10),"")</f>
        <v/>
      </c>
      <c r="H9" s="64">
        <f>IFERROR(AVERAGE(A_Bench!R10:R10),"")</f>
        <v/>
      </c>
      <c r="I9" s="53">
        <f>IFERROR(A_Bench!S10,"")</f>
        <v/>
      </c>
      <c r="J9" s="26">
        <f>IFERROR(A_Bench!O10,"")</f>
        <v/>
      </c>
      <c r="K9" s="42">
        <f>IF(COUNT(B_Angle!J73:J77)=0,"",MAX(B_Angle!J73:J77))</f>
        <v/>
      </c>
      <c r="L9" s="68">
        <f>IFERROR(B_Angle!I32,"")</f>
        <v/>
      </c>
      <c r="M9" s="53">
        <f>IFERROR(MAX(C_Range!L29:L33),"")</f>
        <v/>
      </c>
      <c r="N9" s="26">
        <f>IF(F9="","",IF(F9&gt;0,"YES - REJECT","no"))</f>
        <v/>
      </c>
      <c r="O9" s="27">
        <f>IFERROR(RANK(H9,$H$8:$H$15,1),"")</f>
        <v/>
      </c>
    </row>
    <row r="10">
      <c r="A10" s="25" t="inlineStr">
        <is>
          <t>XL</t>
        </is>
      </c>
      <c r="B10" s="26" t="inlineStr">
        <is>
          <t>20 mm</t>
        </is>
      </c>
      <c r="C10" s="53">
        <f>IFERROR(A_Bench!E11,"")</f>
        <v/>
      </c>
      <c r="D10" s="27">
        <f>IFERROR(A_Bench!F11,"")</f>
        <v/>
      </c>
      <c r="E10" s="27">
        <f>IFERROR(AVERAGE(A_Bench!G11:G11),"")</f>
        <v/>
      </c>
      <c r="F10" s="53">
        <f>IFERROR(MAX(A_Bench!H11:H11),"")</f>
        <v/>
      </c>
      <c r="G10" s="27">
        <f>IFERROR(AVERAGE(A_Bench!K11:K11),"")</f>
        <v/>
      </c>
      <c r="H10" s="64">
        <f>IFERROR(AVERAGE(A_Bench!R11:R11),"")</f>
        <v/>
      </c>
      <c r="I10" s="53">
        <f>IFERROR(A_Bench!S11,"")</f>
        <v/>
      </c>
      <c r="J10" s="26">
        <f>IFERROR(A_Bench!O11,"")</f>
        <v/>
      </c>
      <c r="K10" s="42">
        <f>IF(COUNT(B_Angle!J78:J82)=0,"",MAX(B_Angle!J78:J82))</f>
        <v/>
      </c>
      <c r="L10" s="68">
        <f>IFERROR(B_Angle!I37,"")</f>
        <v/>
      </c>
      <c r="M10" s="53">
        <f>IFERROR(MAX(C_Range!L34:L38),"")</f>
        <v/>
      </c>
      <c r="N10" s="26">
        <f>IF(F10="","",IF(F10&gt;0,"YES - REJECT","no"))</f>
        <v/>
      </c>
      <c r="O10" s="27">
        <f>IFERROR(RANK(H10,$H$8:$H$15,1),"")</f>
        <v/>
      </c>
    </row>
    <row r="11">
      <c r="A11" s="25" t="inlineStr">
        <is>
          <t>Kingbright</t>
        </is>
      </c>
      <c r="B11" s="26" t="inlineStr">
        <is>
          <t>20 mm</t>
        </is>
      </c>
      <c r="C11" s="53">
        <f>IFERROR(A_Bench!E12,"")</f>
        <v/>
      </c>
      <c r="D11" s="27">
        <f>IFERROR(A_Bench!F12,"")</f>
        <v/>
      </c>
      <c r="E11" s="27">
        <f>IFERROR(AVERAGE(A_Bench!G12:G12),"")</f>
        <v/>
      </c>
      <c r="F11" s="53">
        <f>IFERROR(MAX(A_Bench!H12:H12),"")</f>
        <v/>
      </c>
      <c r="G11" s="27">
        <f>IFERROR(AVERAGE(A_Bench!K12:K12),"")</f>
        <v/>
      </c>
      <c r="H11" s="64">
        <f>IFERROR(AVERAGE(A_Bench!R12:R12),"")</f>
        <v/>
      </c>
      <c r="I11" s="53">
        <f>IFERROR(A_Bench!S12,"")</f>
        <v/>
      </c>
      <c r="J11" s="26">
        <f>IFERROR(A_Bench!O12,"")</f>
        <v/>
      </c>
      <c r="K11" s="42">
        <f>IF(COUNT(B_Angle!J83:J87)=0,"",MAX(B_Angle!J83:J87))</f>
        <v/>
      </c>
      <c r="L11" s="68">
        <f>IFERROR(B_Angle!I42,"")</f>
        <v/>
      </c>
      <c r="M11" s="53">
        <f>IFERROR(MAX(C_Range!L39:L43),"")</f>
        <v/>
      </c>
      <c r="N11" s="26">
        <f>IF(F11="","",IF(F11&gt;0,"YES - REJECT","no"))</f>
        <v/>
      </c>
      <c r="O11" s="27">
        <f>IFERROR(RANK(H11,$H$8:$H$15,1),"")</f>
        <v/>
      </c>
    </row>
    <row r="12">
      <c r="A12" s="15" t="inlineStr">
        <is>
          <t>Vishay</t>
        </is>
      </c>
      <c r="B12" s="16" t="inlineStr">
        <is>
          <t>25 mm</t>
        </is>
      </c>
      <c r="C12" s="57">
        <f>IFERROR(A_Bench!E13,"")</f>
        <v/>
      </c>
      <c r="D12" s="17">
        <f>IFERROR(A_Bench!F13,"")</f>
        <v/>
      </c>
      <c r="E12" s="17">
        <f>IFERROR(AVERAGE(A_Bench!G13:G13),"")</f>
        <v/>
      </c>
      <c r="F12" s="57">
        <f>IFERROR(MAX(A_Bench!H13:H13),"")</f>
        <v/>
      </c>
      <c r="G12" s="17">
        <f>IFERROR(AVERAGE(A_Bench!K13:K13),"")</f>
        <v/>
      </c>
      <c r="H12" s="60">
        <f>IFERROR(AVERAGE(A_Bench!R13:R13),"")</f>
        <v/>
      </c>
      <c r="I12" s="57">
        <f>IFERROR(A_Bench!S13,"")</f>
        <v/>
      </c>
      <c r="J12" s="16">
        <f>IFERROR(A_Bench!O13,"")</f>
        <v/>
      </c>
      <c r="K12" s="40">
        <f>IF(COUNT(B_Angle!J88:J92)=0,"",MAX(B_Angle!J88:J92))</f>
        <v/>
      </c>
      <c r="L12" s="67">
        <f>IFERROR(B_Angle!I47,"")</f>
        <v/>
      </c>
      <c r="M12" s="57">
        <f>IFERROR(MAX(C_Range!L44:L48),"")</f>
        <v/>
      </c>
      <c r="N12" s="16">
        <f>IF(F12="","",IF(F12&gt;0,"YES - REJECT","no"))</f>
        <v/>
      </c>
      <c r="O12" s="17">
        <f>IFERROR(RANK(H12,$H$8:$H$15,1),"")</f>
        <v/>
      </c>
    </row>
    <row r="13">
      <c r="A13" s="25" t="inlineStr">
        <is>
          <t>Everlight</t>
        </is>
      </c>
      <c r="B13" s="26" t="inlineStr">
        <is>
          <t>25 mm</t>
        </is>
      </c>
      <c r="C13" s="53">
        <f>IFERROR(A_Bench!E14,"")</f>
        <v/>
      </c>
      <c r="D13" s="27">
        <f>IFERROR(A_Bench!F14,"")</f>
        <v/>
      </c>
      <c r="E13" s="27">
        <f>IFERROR(AVERAGE(A_Bench!G14:G14),"")</f>
        <v/>
      </c>
      <c r="F13" s="53">
        <f>IFERROR(MAX(A_Bench!H14:H14),"")</f>
        <v/>
      </c>
      <c r="G13" s="27">
        <f>IFERROR(AVERAGE(A_Bench!K14:K14),"")</f>
        <v/>
      </c>
      <c r="H13" s="64">
        <f>IFERROR(AVERAGE(A_Bench!R14:R14),"")</f>
        <v/>
      </c>
      <c r="I13" s="53">
        <f>IFERROR(A_Bench!S14,"")</f>
        <v/>
      </c>
      <c r="J13" s="26">
        <f>IFERROR(A_Bench!O14,"")</f>
        <v/>
      </c>
      <c r="K13" s="42">
        <f>IF(COUNT(B_Angle!J93:J97)=0,"",MAX(B_Angle!J93:J97))</f>
        <v/>
      </c>
      <c r="L13" s="68">
        <f>IFERROR(B_Angle!I52,"")</f>
        <v/>
      </c>
      <c r="M13" s="53">
        <f>IFERROR(MAX(C_Range!L49:L53),"")</f>
        <v/>
      </c>
      <c r="N13" s="26">
        <f>IF(F13="","",IF(F13&gt;0,"YES - REJECT","no"))</f>
        <v/>
      </c>
      <c r="O13" s="27">
        <f>IFERROR(RANK(H13,$H$8:$H$15,1),"")</f>
        <v/>
      </c>
    </row>
    <row r="14">
      <c r="A14" s="25" t="inlineStr">
        <is>
          <t>XL</t>
        </is>
      </c>
      <c r="B14" s="26" t="inlineStr">
        <is>
          <t>25 mm</t>
        </is>
      </c>
      <c r="C14" s="53">
        <f>IFERROR(A_Bench!E15,"")</f>
        <v/>
      </c>
      <c r="D14" s="27">
        <f>IFERROR(A_Bench!F15,"")</f>
        <v/>
      </c>
      <c r="E14" s="27">
        <f>IFERROR(AVERAGE(A_Bench!G15:G15),"")</f>
        <v/>
      </c>
      <c r="F14" s="53">
        <f>IFERROR(MAX(A_Bench!H15:H15),"")</f>
        <v/>
      </c>
      <c r="G14" s="27">
        <f>IFERROR(AVERAGE(A_Bench!K15:K15),"")</f>
        <v/>
      </c>
      <c r="H14" s="64">
        <f>IFERROR(AVERAGE(A_Bench!R15:R15),"")</f>
        <v/>
      </c>
      <c r="I14" s="53">
        <f>IFERROR(A_Bench!S15,"")</f>
        <v/>
      </c>
      <c r="J14" s="26">
        <f>IFERROR(A_Bench!O15,"")</f>
        <v/>
      </c>
      <c r="K14" s="42">
        <f>IF(COUNT(B_Angle!J98:J102)=0,"",MAX(B_Angle!J98:J102))</f>
        <v/>
      </c>
      <c r="L14" s="68">
        <f>IFERROR(B_Angle!I57,"")</f>
        <v/>
      </c>
      <c r="M14" s="53">
        <f>IFERROR(MAX(C_Range!L54:L58),"")</f>
        <v/>
      </c>
      <c r="N14" s="26">
        <f>IF(F14="","",IF(F14&gt;0,"YES - REJECT","no"))</f>
        <v/>
      </c>
      <c r="O14" s="27">
        <f>IFERROR(RANK(H14,$H$8:$H$15,1),"")</f>
        <v/>
      </c>
    </row>
    <row r="15">
      <c r="A15" s="25" t="inlineStr">
        <is>
          <t>Kingbright</t>
        </is>
      </c>
      <c r="B15" s="26" t="inlineStr">
        <is>
          <t>25 mm</t>
        </is>
      </c>
      <c r="C15" s="53">
        <f>IFERROR(A_Bench!E16,"")</f>
        <v/>
      </c>
      <c r="D15" s="27">
        <f>IFERROR(A_Bench!F16,"")</f>
        <v/>
      </c>
      <c r="E15" s="27">
        <f>IFERROR(AVERAGE(A_Bench!G16:G16),"")</f>
        <v/>
      </c>
      <c r="F15" s="53">
        <f>IFERROR(MAX(A_Bench!H16:H16),"")</f>
        <v/>
      </c>
      <c r="G15" s="27">
        <f>IFERROR(AVERAGE(A_Bench!K16:K16),"")</f>
        <v/>
      </c>
      <c r="H15" s="64">
        <f>IFERROR(AVERAGE(A_Bench!R16:R16),"")</f>
        <v/>
      </c>
      <c r="I15" s="53">
        <f>IFERROR(A_Bench!S16,"")</f>
        <v/>
      </c>
      <c r="J15" s="26">
        <f>IFERROR(A_Bench!O16,"")</f>
        <v/>
      </c>
      <c r="K15" s="42">
        <f>IF(COUNT(B_Angle!J103:J107)=0,"",MAX(B_Angle!J103:J107))</f>
        <v/>
      </c>
      <c r="L15" s="68">
        <f>IFERROR(B_Angle!I62,"")</f>
        <v/>
      </c>
      <c r="M15" s="53">
        <f>IFERROR(MAX(C_Range!L59:L63),"")</f>
        <v/>
      </c>
      <c r="N15" s="26">
        <f>IF(F15="","",IF(F15&gt;0,"YES - REJECT","no"))</f>
        <v/>
      </c>
      <c r="O15" s="27">
        <f>IFERROR(RANK(H15,$H$8:$H$15,1),"")</f>
        <v/>
      </c>
    </row>
    <row r="17">
      <c r="A17" s="38" t="inlineStr">
        <is>
          <t>20 mm vs 25 mm, per LED type</t>
        </is>
      </c>
    </row>
    <row r="18" ht="30" customHeight="1">
      <c r="A18" s="8" t="inlineStr">
        <is>
          <t>LED Type</t>
        </is>
      </c>
      <c r="B18" s="8" t="inlineStr">
        <is>
          <t>sigma_RMS
20 mm</t>
        </is>
      </c>
      <c r="C18" s="8" t="inlineStr">
        <is>
          <t>sigma_RMS
25 mm</t>
        </is>
      </c>
      <c r="D18" s="8" t="inlineStr">
        <is>
          <t>Lower
sigma</t>
        </is>
      </c>
      <c r="E18" s="8" t="inlineStr">
        <is>
          <t>Blend
20 mm</t>
        </is>
      </c>
      <c r="F18" s="8" t="inlineStr">
        <is>
          <t>Blend
25 mm</t>
        </is>
      </c>
      <c r="G18" s="8" t="inlineStr">
        <is>
          <t>Roll bias
20 mm</t>
        </is>
      </c>
      <c r="H18" s="8" t="inlineStr">
        <is>
          <t>Roll bias
25 mm</t>
        </is>
      </c>
      <c r="I18" s="8" t="inlineStr">
        <is>
          <t>Lower
roll bias</t>
        </is>
      </c>
    </row>
    <row r="19">
      <c r="A19" s="25" t="inlineStr">
        <is>
          <t>Vishay</t>
        </is>
      </c>
      <c r="B19" s="64">
        <f>IF(H8="","",H8)</f>
        <v/>
      </c>
      <c r="C19" s="64">
        <f>IF(H12="","",H12)</f>
        <v/>
      </c>
      <c r="D19" s="26">
        <f>IF(OR(B19="",C19=""),"",IF(B19&lt;C19,"20 mm",IF(C19&lt;B19,"25 mm","tie")))</f>
        <v/>
      </c>
      <c r="E19" s="26">
        <f>IF(J8="","",J8)</f>
        <v/>
      </c>
      <c r="F19" s="26">
        <f>IF(J12="","",J12)</f>
        <v/>
      </c>
      <c r="G19" s="42">
        <f>IF(K8="","",K8)</f>
        <v/>
      </c>
      <c r="H19" s="42">
        <f>IF(K12="","",K12)</f>
        <v/>
      </c>
      <c r="I19" s="26">
        <f>IF(OR(G19="",H19=""),"",IF(G19&lt;H19,"20 mm",IF(H19&lt;G19,"25 mm","tie")))</f>
        <v/>
      </c>
    </row>
    <row r="20">
      <c r="A20" s="25" t="inlineStr">
        <is>
          <t>Everlight</t>
        </is>
      </c>
      <c r="B20" s="64">
        <f>IF(H9="","",H9)</f>
        <v/>
      </c>
      <c r="C20" s="64">
        <f>IF(H13="","",H13)</f>
        <v/>
      </c>
      <c r="D20" s="26">
        <f>IF(OR(B20="",C20=""),"",IF(B20&lt;C20,"20 mm",IF(C20&lt;B20,"25 mm","tie")))</f>
        <v/>
      </c>
      <c r="E20" s="26">
        <f>IF(J9="","",J9)</f>
        <v/>
      </c>
      <c r="F20" s="26">
        <f>IF(J13="","",J13)</f>
        <v/>
      </c>
      <c r="G20" s="42">
        <f>IF(K9="","",K9)</f>
        <v/>
      </c>
      <c r="H20" s="42">
        <f>IF(K13="","",K13)</f>
        <v/>
      </c>
      <c r="I20" s="26">
        <f>IF(OR(G20="",H20=""),"",IF(G20&lt;H20,"20 mm",IF(H20&lt;G20,"25 mm","tie")))</f>
        <v/>
      </c>
    </row>
    <row r="21">
      <c r="A21" s="25" t="inlineStr">
        <is>
          <t>XL</t>
        </is>
      </c>
      <c r="B21" s="64">
        <f>IF(H10="","",H10)</f>
        <v/>
      </c>
      <c r="C21" s="64">
        <f>IF(H14="","",H14)</f>
        <v/>
      </c>
      <c r="D21" s="26">
        <f>IF(OR(B21="",C21=""),"",IF(B21&lt;C21,"20 mm",IF(C21&lt;B21,"25 mm","tie")))</f>
        <v/>
      </c>
      <c r="E21" s="26">
        <f>IF(J10="","",J10)</f>
        <v/>
      </c>
      <c r="F21" s="26">
        <f>IF(J14="","",J14)</f>
        <v/>
      </c>
      <c r="G21" s="42">
        <f>IF(K10="","",K10)</f>
        <v/>
      </c>
      <c r="H21" s="42">
        <f>IF(K14="","",K14)</f>
        <v/>
      </c>
      <c r="I21" s="26">
        <f>IF(OR(G21="",H21=""),"",IF(G21&lt;H21,"20 mm",IF(H21&lt;G21,"25 mm","tie")))</f>
        <v/>
      </c>
    </row>
    <row r="22">
      <c r="A22" s="25" t="inlineStr">
        <is>
          <t>Kingbright</t>
        </is>
      </c>
      <c r="B22" s="64">
        <f>IF(H11="","",H11)</f>
        <v/>
      </c>
      <c r="C22" s="64">
        <f>IF(H15="","",H15)</f>
        <v/>
      </c>
      <c r="D22" s="26">
        <f>IF(OR(B22="",C22=""),"",IF(B22&lt;C22,"20 mm",IF(C22&lt;B22,"25 mm","tie")))</f>
        <v/>
      </c>
      <c r="E22" s="26">
        <f>IF(J11="","",J11)</f>
        <v/>
      </c>
      <c r="F22" s="26">
        <f>IF(J15="","",J15)</f>
        <v/>
      </c>
      <c r="G22" s="42">
        <f>IF(K11="","",K11)</f>
        <v/>
      </c>
      <c r="H22" s="42">
        <f>IF(K15="","",K15)</f>
        <v/>
      </c>
      <c r="I22" s="26">
        <f>IF(OR(G22="",H22=""),"",IF(G22&lt;H22,"20 mm",IF(H22&lt;G22,"25 mm","tie")))</f>
        <v/>
      </c>
    </row>
    <row r="24">
      <c r="A24" s="38" t="inlineStr">
        <is>
          <t>HOW TO READ THIS</t>
        </is>
      </c>
    </row>
    <row r="25">
      <c r="A25" s="46" t="inlineStr">
        <is>
          <t>PEAK is the controlled variable, not exposure and not current. Land every row at peak 200-230 and record the exposure it took. Exposure legitimately changes with angle, range and diffuser - that is why it is a result here, not a constant.</t>
        </is>
      </c>
    </row>
    <row r="26">
      <c r="A26" s="46" t="inlineStr">
        <is>
          <t>Column 'Next exposure' does the targeting for you: peak is linear in exposure while unclipped, and this sensor quantises exposure to ~21.3 us steps (one row time, floor ~21 us). Two iterations lands the band.</t>
        </is>
      </c>
    </row>
    <row r="27">
      <c r="A27" s="46" t="inlineStr">
        <is>
          <t>Current is set by the series resistor on each board and differs by part (Vishay 78.8 mA, Everlight and Kingbright 38.2 mA, XL 21.7 mA). It is a property of the build, not something to equalise at the bench. If a build clips at the exposure floor, add series resistance or test at the real range.</t>
        </is>
      </c>
    </row>
    <row r="28">
      <c r="A28" s="46" t="inlineStr">
        <is>
          <t>Blend gate first: blobs must be 1 and w/h near 1.00. Four LEDs that have not merged read as several blobs, and every measurement mode silently takes the largest - a split marker reports an excellent sigma while tracking a quarter of itself.</t>
        </is>
      </c>
    </row>
    <row r="29">
      <c r="A29" s="46" t="inlineStr">
        <is>
          <t>sig_v/sig_u above ~3 means the noise is not isotropic, which is a systematic, not sensor noise. Every such row so far was also saturated and small - unsaturate it and re-measure before blaming the LED.</t>
        </is>
      </c>
    </row>
    <row r="30">
      <c r="A30" s="46" t="inlineStr">
        <is>
          <t>Roll bias: rolling a well-blended marker about its own axis must not move the centroid. Bias does not average out the way noise does, and the EKF cannot see it - it tracks a wrong position with a confident covariance.</t>
        </is>
      </c>
    </row>
    <row r="31">
      <c r="A31" s="46" t="inlineStr">
        <is>
          <t>RANK is on sigma_RMS mean, over the 8 marker builds only. Then check the gates: Saturating? = 'no', max range covers your operating distance, area kept at 45 deg is enough at your worst viewing angle.</t>
        </is>
      </c>
    </row>
    <row r="32">
      <c r="A32" s="46" t="inlineStr">
        <is>
          <t>Area is not a marker property - it is the count of pixels above THRESH_LO, so it falls with peak. Only compare areas between rows measured at the same peak. Sensor area below ~350 px is where sigma fell apart in the first run.</t>
        </is>
      </c>
    </row>
    <row r="33">
      <c r="A33" s="46" t="inlineStr">
        <is>
          <t>The bare rows are a reference, never a candidate: they attribute a bad marker to the LED rather than the build, and they price the diffuser - exposure bare vs diffused is the light the blend cost you.</t>
        </is>
      </c>
    </row>
    <row r="34">
      <c r="A34" s="46" t="inlineStr">
        <is>
          <t>If both diameters pass every gate and their sigmas are within a few percent, take the 20 mm: smaller marker, less occlusion, closer packing on the rig.</t>
        </is>
      </c>
    </row>
    <row r="35">
      <c r="A35" s="46" t="inlineStr">
        <is>
          <t>The winning sigma_RMS goes into CENTROID_SIGMA in kalmanFilter.py, with that same row's npix as AREA_NOMINAL_SENSOR. Both must come from one row - the diffuser changes 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2026-08-27T15:11:57Z</dcterms:created>
  <dcterms:modified xsi:type="dcterms:W3CDTF">2026-09-10T20:36:59Z</dcterms:modified>
  <cp:lastModifiedBy>Shannon Pitman</cp:lastModifiedBy>
</cp:coreProperties>
</file>